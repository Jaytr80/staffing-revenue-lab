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ege\Downloads\"/>
    </mc:Choice>
  </mc:AlternateContent>
  <xr:revisionPtr revIDLastSave="0" documentId="8_{A44794A4-91D0-474D-BE3A-57635CB770BC}" xr6:coauthVersionLast="47" xr6:coauthVersionMax="47" xr10:uidLastSave="{00000000-0000-0000-0000-000000000000}"/>
  <bookViews>
    <workbookView xWindow="720" yWindow="720" windowWidth="12680" windowHeight="7270" firstSheet="1" activeTab="4" xr2:uid="{00000000-000D-0000-FFFF-FFFF00000000}"/>
  </bookViews>
  <sheets>
    <sheet name="Dashboard" sheetId="1" r:id="rId1"/>
    <sheet name="Account Scoring" sheetId="2" r:id="rId2"/>
    <sheet name="Hiring Signals" sheetId="3" r:id="rId3"/>
    <sheet name="BD Pipeline" sheetId="4" r:id="rId4"/>
    <sheet name="Req Scorecard" sheetId="5" r:id="rId5"/>
    <sheet name="Candidate Pipeline" sheetId="6" r:id="rId6"/>
    <sheet name="Client Health" sheetId="7" r:id="rId7"/>
    <sheet name="Weekly Metrics" sheetId="8" r:id="rId8"/>
    <sheet name="30-Day Sprint" sheetId="9" r:id="rId9"/>
    <sheet name="Read M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8" i="8" l="1"/>
  <c r="R108" i="8"/>
  <c r="Q108" i="8"/>
  <c r="P108" i="8"/>
  <c r="O108" i="8"/>
  <c r="N108" i="8"/>
  <c r="S107" i="8"/>
  <c r="R107" i="8"/>
  <c r="Q107" i="8"/>
  <c r="P107" i="8"/>
  <c r="O107" i="8"/>
  <c r="N107" i="8"/>
  <c r="S106" i="8"/>
  <c r="R106" i="8"/>
  <c r="Q106" i="8"/>
  <c r="P106" i="8"/>
  <c r="O106" i="8"/>
  <c r="N106" i="8"/>
  <c r="S105" i="8"/>
  <c r="R105" i="8"/>
  <c r="Q105" i="8"/>
  <c r="P105" i="8"/>
  <c r="O105" i="8"/>
  <c r="N105" i="8"/>
  <c r="S104" i="8"/>
  <c r="R104" i="8"/>
  <c r="Q104" i="8"/>
  <c r="P104" i="8"/>
  <c r="O104" i="8"/>
  <c r="N104" i="8"/>
  <c r="S103" i="8"/>
  <c r="R103" i="8"/>
  <c r="Q103" i="8"/>
  <c r="P103" i="8"/>
  <c r="O103" i="8"/>
  <c r="N103" i="8"/>
  <c r="S102" i="8"/>
  <c r="R102" i="8"/>
  <c r="Q102" i="8"/>
  <c r="P102" i="8"/>
  <c r="O102" i="8"/>
  <c r="N102" i="8"/>
  <c r="S101" i="8"/>
  <c r="R101" i="8"/>
  <c r="Q101" i="8"/>
  <c r="P101" i="8"/>
  <c r="O101" i="8"/>
  <c r="N101" i="8"/>
  <c r="S100" i="8"/>
  <c r="R100" i="8"/>
  <c r="Q100" i="8"/>
  <c r="P100" i="8"/>
  <c r="O100" i="8"/>
  <c r="N100" i="8"/>
  <c r="S99" i="8"/>
  <c r="R99" i="8"/>
  <c r="Q99" i="8"/>
  <c r="P99" i="8"/>
  <c r="O99" i="8"/>
  <c r="N99" i="8"/>
  <c r="S98" i="8"/>
  <c r="R98" i="8"/>
  <c r="Q98" i="8"/>
  <c r="P98" i="8"/>
  <c r="O98" i="8"/>
  <c r="N98" i="8"/>
  <c r="S97" i="8"/>
  <c r="R97" i="8"/>
  <c r="Q97" i="8"/>
  <c r="P97" i="8"/>
  <c r="O97" i="8"/>
  <c r="N97" i="8"/>
  <c r="S96" i="8"/>
  <c r="R96" i="8"/>
  <c r="Q96" i="8"/>
  <c r="P96" i="8"/>
  <c r="O96" i="8"/>
  <c r="N96" i="8"/>
  <c r="S95" i="8"/>
  <c r="R95" i="8"/>
  <c r="Q95" i="8"/>
  <c r="P95" i="8"/>
  <c r="O95" i="8"/>
  <c r="N95" i="8"/>
  <c r="S94" i="8"/>
  <c r="R94" i="8"/>
  <c r="Q94" i="8"/>
  <c r="P94" i="8"/>
  <c r="O94" i="8"/>
  <c r="N94" i="8"/>
  <c r="S93" i="8"/>
  <c r="R93" i="8"/>
  <c r="Q93" i="8"/>
  <c r="P93" i="8"/>
  <c r="O93" i="8"/>
  <c r="N93" i="8"/>
  <c r="S92" i="8"/>
  <c r="R92" i="8"/>
  <c r="Q92" i="8"/>
  <c r="P92" i="8"/>
  <c r="O92" i="8"/>
  <c r="N92" i="8"/>
  <c r="S91" i="8"/>
  <c r="R91" i="8"/>
  <c r="Q91" i="8"/>
  <c r="P91" i="8"/>
  <c r="O91" i="8"/>
  <c r="N91" i="8"/>
  <c r="S90" i="8"/>
  <c r="R90" i="8"/>
  <c r="Q90" i="8"/>
  <c r="P90" i="8"/>
  <c r="O90" i="8"/>
  <c r="N90" i="8"/>
  <c r="S89" i="8"/>
  <c r="R89" i="8"/>
  <c r="Q89" i="8"/>
  <c r="P89" i="8"/>
  <c r="O89" i="8"/>
  <c r="N89" i="8"/>
  <c r="S88" i="8"/>
  <c r="R88" i="8"/>
  <c r="Q88" i="8"/>
  <c r="P88" i="8"/>
  <c r="O88" i="8"/>
  <c r="N88" i="8"/>
  <c r="S87" i="8"/>
  <c r="R87" i="8"/>
  <c r="Q87" i="8"/>
  <c r="P87" i="8"/>
  <c r="O87" i="8"/>
  <c r="N87" i="8"/>
  <c r="S86" i="8"/>
  <c r="R86" i="8"/>
  <c r="Q86" i="8"/>
  <c r="P86" i="8"/>
  <c r="O86" i="8"/>
  <c r="N86" i="8"/>
  <c r="S85" i="8"/>
  <c r="R85" i="8"/>
  <c r="Q85" i="8"/>
  <c r="P85" i="8"/>
  <c r="O85" i="8"/>
  <c r="N85" i="8"/>
  <c r="S84" i="8"/>
  <c r="R84" i="8"/>
  <c r="Q84" i="8"/>
  <c r="P84" i="8"/>
  <c r="O84" i="8"/>
  <c r="N84" i="8"/>
  <c r="S83" i="8"/>
  <c r="R83" i="8"/>
  <c r="Q83" i="8"/>
  <c r="P83" i="8"/>
  <c r="O83" i="8"/>
  <c r="N83" i="8"/>
  <c r="S82" i="8"/>
  <c r="R82" i="8"/>
  <c r="Q82" i="8"/>
  <c r="P82" i="8"/>
  <c r="O82" i="8"/>
  <c r="N82" i="8"/>
  <c r="S81" i="8"/>
  <c r="R81" i="8"/>
  <c r="Q81" i="8"/>
  <c r="P81" i="8"/>
  <c r="O81" i="8"/>
  <c r="N81" i="8"/>
  <c r="S80" i="8"/>
  <c r="R80" i="8"/>
  <c r="Q80" i="8"/>
  <c r="P80" i="8"/>
  <c r="O80" i="8"/>
  <c r="N80" i="8"/>
  <c r="S79" i="8"/>
  <c r="R79" i="8"/>
  <c r="Q79" i="8"/>
  <c r="P79" i="8"/>
  <c r="O79" i="8"/>
  <c r="N79" i="8"/>
  <c r="S78" i="8"/>
  <c r="R78" i="8"/>
  <c r="Q78" i="8"/>
  <c r="P78" i="8"/>
  <c r="O78" i="8"/>
  <c r="N78" i="8"/>
  <c r="S77" i="8"/>
  <c r="R77" i="8"/>
  <c r="Q77" i="8"/>
  <c r="P77" i="8"/>
  <c r="O77" i="8"/>
  <c r="N77" i="8"/>
  <c r="S76" i="8"/>
  <c r="R76" i="8"/>
  <c r="Q76" i="8"/>
  <c r="P76" i="8"/>
  <c r="O76" i="8"/>
  <c r="N76" i="8"/>
  <c r="S75" i="8"/>
  <c r="R75" i="8"/>
  <c r="Q75" i="8"/>
  <c r="P75" i="8"/>
  <c r="O75" i="8"/>
  <c r="N75" i="8"/>
  <c r="S74" i="8"/>
  <c r="R74" i="8"/>
  <c r="Q74" i="8"/>
  <c r="P74" i="8"/>
  <c r="O74" i="8"/>
  <c r="N74" i="8"/>
  <c r="S73" i="8"/>
  <c r="R73" i="8"/>
  <c r="Q73" i="8"/>
  <c r="P73" i="8"/>
  <c r="O73" i="8"/>
  <c r="N73" i="8"/>
  <c r="S72" i="8"/>
  <c r="R72" i="8"/>
  <c r="Q72" i="8"/>
  <c r="P72" i="8"/>
  <c r="O72" i="8"/>
  <c r="N72" i="8"/>
  <c r="S71" i="8"/>
  <c r="R71" i="8"/>
  <c r="Q71" i="8"/>
  <c r="P71" i="8"/>
  <c r="O71" i="8"/>
  <c r="N71" i="8"/>
  <c r="S70" i="8"/>
  <c r="R70" i="8"/>
  <c r="Q70" i="8"/>
  <c r="P70" i="8"/>
  <c r="O70" i="8"/>
  <c r="N70" i="8"/>
  <c r="S69" i="8"/>
  <c r="R69" i="8"/>
  <c r="Q69" i="8"/>
  <c r="P69" i="8"/>
  <c r="O69" i="8"/>
  <c r="N69" i="8"/>
  <c r="S68" i="8"/>
  <c r="R68" i="8"/>
  <c r="Q68" i="8"/>
  <c r="P68" i="8"/>
  <c r="O68" i="8"/>
  <c r="N68" i="8"/>
  <c r="S67" i="8"/>
  <c r="R67" i="8"/>
  <c r="Q67" i="8"/>
  <c r="P67" i="8"/>
  <c r="O67" i="8"/>
  <c r="N67" i="8"/>
  <c r="S66" i="8"/>
  <c r="R66" i="8"/>
  <c r="Q66" i="8"/>
  <c r="P66" i="8"/>
  <c r="O66" i="8"/>
  <c r="N66" i="8"/>
  <c r="S65" i="8"/>
  <c r="R65" i="8"/>
  <c r="Q65" i="8"/>
  <c r="P65" i="8"/>
  <c r="O65" i="8"/>
  <c r="N65" i="8"/>
  <c r="S64" i="8"/>
  <c r="R64" i="8"/>
  <c r="Q64" i="8"/>
  <c r="P64" i="8"/>
  <c r="O64" i="8"/>
  <c r="N64" i="8"/>
  <c r="S63" i="8"/>
  <c r="R63" i="8"/>
  <c r="Q63" i="8"/>
  <c r="P63" i="8"/>
  <c r="O63" i="8"/>
  <c r="N63" i="8"/>
  <c r="S62" i="8"/>
  <c r="R62" i="8"/>
  <c r="Q62" i="8"/>
  <c r="P62" i="8"/>
  <c r="O62" i="8"/>
  <c r="N62" i="8"/>
  <c r="S61" i="8"/>
  <c r="R61" i="8"/>
  <c r="Q61" i="8"/>
  <c r="P61" i="8"/>
  <c r="O61" i="8"/>
  <c r="N61" i="8"/>
  <c r="S60" i="8"/>
  <c r="R60" i="8"/>
  <c r="Q60" i="8"/>
  <c r="P60" i="8"/>
  <c r="O60" i="8"/>
  <c r="N60" i="8"/>
  <c r="S59" i="8"/>
  <c r="R59" i="8"/>
  <c r="Q59" i="8"/>
  <c r="P59" i="8"/>
  <c r="O59" i="8"/>
  <c r="N59" i="8"/>
  <c r="S58" i="8"/>
  <c r="R58" i="8"/>
  <c r="Q58" i="8"/>
  <c r="P58" i="8"/>
  <c r="O58" i="8"/>
  <c r="N58" i="8"/>
  <c r="S57" i="8"/>
  <c r="R57" i="8"/>
  <c r="Q57" i="8"/>
  <c r="P57" i="8"/>
  <c r="O57" i="8"/>
  <c r="N57" i="8"/>
  <c r="S56" i="8"/>
  <c r="R56" i="8"/>
  <c r="Q56" i="8"/>
  <c r="P56" i="8"/>
  <c r="O56" i="8"/>
  <c r="N56" i="8"/>
  <c r="S55" i="8"/>
  <c r="R55" i="8"/>
  <c r="Q55" i="8"/>
  <c r="P55" i="8"/>
  <c r="O55" i="8"/>
  <c r="N55" i="8"/>
  <c r="S54" i="8"/>
  <c r="R54" i="8"/>
  <c r="Q54" i="8"/>
  <c r="P54" i="8"/>
  <c r="O54" i="8"/>
  <c r="N54" i="8"/>
  <c r="S53" i="8"/>
  <c r="R53" i="8"/>
  <c r="Q53" i="8"/>
  <c r="P53" i="8"/>
  <c r="O53" i="8"/>
  <c r="N53" i="8"/>
  <c r="S52" i="8"/>
  <c r="R52" i="8"/>
  <c r="Q52" i="8"/>
  <c r="P52" i="8"/>
  <c r="O52" i="8"/>
  <c r="N52" i="8"/>
  <c r="S51" i="8"/>
  <c r="R51" i="8"/>
  <c r="Q51" i="8"/>
  <c r="P51" i="8"/>
  <c r="O51" i="8"/>
  <c r="N51" i="8"/>
  <c r="S50" i="8"/>
  <c r="R50" i="8"/>
  <c r="Q50" i="8"/>
  <c r="P50" i="8"/>
  <c r="O50" i="8"/>
  <c r="N50" i="8"/>
  <c r="S49" i="8"/>
  <c r="R49" i="8"/>
  <c r="Q49" i="8"/>
  <c r="P49" i="8"/>
  <c r="O49" i="8"/>
  <c r="N49" i="8"/>
  <c r="S48" i="8"/>
  <c r="R48" i="8"/>
  <c r="Q48" i="8"/>
  <c r="P48" i="8"/>
  <c r="O48" i="8"/>
  <c r="N48" i="8"/>
  <c r="S47" i="8"/>
  <c r="R47" i="8"/>
  <c r="Q47" i="8"/>
  <c r="P47" i="8"/>
  <c r="O47" i="8"/>
  <c r="N47" i="8"/>
  <c r="S46" i="8"/>
  <c r="R46" i="8"/>
  <c r="Q46" i="8"/>
  <c r="P46" i="8"/>
  <c r="O46" i="8"/>
  <c r="N46" i="8"/>
  <c r="S45" i="8"/>
  <c r="R45" i="8"/>
  <c r="Q45" i="8"/>
  <c r="P45" i="8"/>
  <c r="O45" i="8"/>
  <c r="N45" i="8"/>
  <c r="S44" i="8"/>
  <c r="R44" i="8"/>
  <c r="Q44" i="8"/>
  <c r="P44" i="8"/>
  <c r="O44" i="8"/>
  <c r="N44" i="8"/>
  <c r="S43" i="8"/>
  <c r="R43" i="8"/>
  <c r="Q43" i="8"/>
  <c r="P43" i="8"/>
  <c r="O43" i="8"/>
  <c r="N43" i="8"/>
  <c r="S42" i="8"/>
  <c r="R42" i="8"/>
  <c r="Q42" i="8"/>
  <c r="P42" i="8"/>
  <c r="O42" i="8"/>
  <c r="N42" i="8"/>
  <c r="S41" i="8"/>
  <c r="R41" i="8"/>
  <c r="Q41" i="8"/>
  <c r="P41" i="8"/>
  <c r="O41" i="8"/>
  <c r="N41" i="8"/>
  <c r="S40" i="8"/>
  <c r="R40" i="8"/>
  <c r="Q40" i="8"/>
  <c r="P40" i="8"/>
  <c r="O40" i="8"/>
  <c r="N40" i="8"/>
  <c r="S39" i="8"/>
  <c r="R39" i="8"/>
  <c r="Q39" i="8"/>
  <c r="P39" i="8"/>
  <c r="O39" i="8"/>
  <c r="N39" i="8"/>
  <c r="S38" i="8"/>
  <c r="R38" i="8"/>
  <c r="Q38" i="8"/>
  <c r="P38" i="8"/>
  <c r="O38" i="8"/>
  <c r="N38" i="8"/>
  <c r="S37" i="8"/>
  <c r="R37" i="8"/>
  <c r="Q37" i="8"/>
  <c r="P37" i="8"/>
  <c r="O37" i="8"/>
  <c r="N37" i="8"/>
  <c r="S36" i="8"/>
  <c r="R36" i="8"/>
  <c r="Q36" i="8"/>
  <c r="P36" i="8"/>
  <c r="O36" i="8"/>
  <c r="N36" i="8"/>
  <c r="S35" i="8"/>
  <c r="R35" i="8"/>
  <c r="Q35" i="8"/>
  <c r="P35" i="8"/>
  <c r="O35" i="8"/>
  <c r="N35" i="8"/>
  <c r="S34" i="8"/>
  <c r="R34" i="8"/>
  <c r="Q34" i="8"/>
  <c r="P34" i="8"/>
  <c r="O34" i="8"/>
  <c r="N34" i="8"/>
  <c r="S33" i="8"/>
  <c r="R33" i="8"/>
  <c r="Q33" i="8"/>
  <c r="P33" i="8"/>
  <c r="O33" i="8"/>
  <c r="N33" i="8"/>
  <c r="S32" i="8"/>
  <c r="R32" i="8"/>
  <c r="Q32" i="8"/>
  <c r="P32" i="8"/>
  <c r="O32" i="8"/>
  <c r="N32" i="8"/>
  <c r="S31" i="8"/>
  <c r="R31" i="8"/>
  <c r="Q31" i="8"/>
  <c r="P31" i="8"/>
  <c r="O31" i="8"/>
  <c r="N31" i="8"/>
  <c r="S30" i="8"/>
  <c r="R30" i="8"/>
  <c r="Q30" i="8"/>
  <c r="P30" i="8"/>
  <c r="O30" i="8"/>
  <c r="N30" i="8"/>
  <c r="S29" i="8"/>
  <c r="R29" i="8"/>
  <c r="Q29" i="8"/>
  <c r="P29" i="8"/>
  <c r="O29" i="8"/>
  <c r="N29" i="8"/>
  <c r="S28" i="8"/>
  <c r="R28" i="8"/>
  <c r="Q28" i="8"/>
  <c r="P28" i="8"/>
  <c r="O28" i="8"/>
  <c r="N28" i="8"/>
  <c r="S27" i="8"/>
  <c r="R27" i="8"/>
  <c r="Q27" i="8"/>
  <c r="P27" i="8"/>
  <c r="O27" i="8"/>
  <c r="N27" i="8"/>
  <c r="S26" i="8"/>
  <c r="R26" i="8"/>
  <c r="Q26" i="8"/>
  <c r="P26" i="8"/>
  <c r="O26" i="8"/>
  <c r="N26" i="8"/>
  <c r="S25" i="8"/>
  <c r="R25" i="8"/>
  <c r="Q25" i="8"/>
  <c r="P25" i="8"/>
  <c r="O25" i="8"/>
  <c r="N25" i="8"/>
  <c r="S24" i="8"/>
  <c r="R24" i="8"/>
  <c r="Q24" i="8"/>
  <c r="P24" i="8"/>
  <c r="O24" i="8"/>
  <c r="N24" i="8"/>
  <c r="S23" i="8"/>
  <c r="R23" i="8"/>
  <c r="Q23" i="8"/>
  <c r="P23" i="8"/>
  <c r="O23" i="8"/>
  <c r="N23" i="8"/>
  <c r="S22" i="8"/>
  <c r="R22" i="8"/>
  <c r="Q22" i="8"/>
  <c r="P22" i="8"/>
  <c r="O22" i="8"/>
  <c r="N22" i="8"/>
  <c r="S21" i="8"/>
  <c r="R21" i="8"/>
  <c r="Q21" i="8"/>
  <c r="P21" i="8"/>
  <c r="O21" i="8"/>
  <c r="N21" i="8"/>
  <c r="S20" i="8"/>
  <c r="R20" i="8"/>
  <c r="Q20" i="8"/>
  <c r="P20" i="8"/>
  <c r="O20" i="8"/>
  <c r="N20" i="8"/>
  <c r="S19" i="8"/>
  <c r="R19" i="8"/>
  <c r="Q19" i="8"/>
  <c r="P19" i="8"/>
  <c r="O19" i="8"/>
  <c r="N19" i="8"/>
  <c r="S18" i="8"/>
  <c r="R18" i="8"/>
  <c r="Q18" i="8"/>
  <c r="P18" i="8"/>
  <c r="O18" i="8"/>
  <c r="N18" i="8"/>
  <c r="S17" i="8"/>
  <c r="R17" i="8"/>
  <c r="Q17" i="8"/>
  <c r="P17" i="8"/>
  <c r="O17" i="8"/>
  <c r="N17" i="8"/>
  <c r="S16" i="8"/>
  <c r="R16" i="8"/>
  <c r="Q16" i="8"/>
  <c r="P16" i="8"/>
  <c r="O16" i="8"/>
  <c r="N16" i="8"/>
  <c r="S15" i="8"/>
  <c r="R15" i="8"/>
  <c r="Q15" i="8"/>
  <c r="P15" i="8"/>
  <c r="O15" i="8"/>
  <c r="N15" i="8"/>
  <c r="S14" i="8"/>
  <c r="R14" i="8"/>
  <c r="Q14" i="8"/>
  <c r="P14" i="8"/>
  <c r="O14" i="8"/>
  <c r="N14" i="8"/>
  <c r="S13" i="8"/>
  <c r="R13" i="8"/>
  <c r="Q13" i="8"/>
  <c r="P13" i="8"/>
  <c r="O13" i="8"/>
  <c r="N13" i="8"/>
  <c r="S12" i="8"/>
  <c r="R12" i="8"/>
  <c r="Q12" i="8"/>
  <c r="P12" i="8"/>
  <c r="O12" i="8"/>
  <c r="N12" i="8"/>
  <c r="S11" i="8"/>
  <c r="R11" i="8"/>
  <c r="Q11" i="8"/>
  <c r="P11" i="8"/>
  <c r="O11" i="8"/>
  <c r="N11" i="8"/>
  <c r="S10" i="8"/>
  <c r="R10" i="8"/>
  <c r="Q10" i="8"/>
  <c r="P10" i="8"/>
  <c r="O10" i="8"/>
  <c r="N10" i="8"/>
  <c r="S9" i="8"/>
  <c r="R9" i="8"/>
  <c r="Q9" i="8"/>
  <c r="P9" i="8"/>
  <c r="O9" i="8"/>
  <c r="N9" i="8"/>
  <c r="S8" i="8"/>
  <c r="R8" i="8"/>
  <c r="Q8" i="8"/>
  <c r="P8" i="8"/>
  <c r="O8" i="8"/>
  <c r="N8" i="8"/>
  <c r="S7" i="8"/>
  <c r="R7" i="8"/>
  <c r="Q7" i="8"/>
  <c r="P7" i="8"/>
  <c r="O7" i="8"/>
  <c r="N7" i="8"/>
  <c r="S6" i="8"/>
  <c r="R6" i="8"/>
  <c r="Q6" i="8"/>
  <c r="P6" i="8"/>
  <c r="O6" i="8"/>
  <c r="N6" i="8"/>
  <c r="S5" i="8"/>
  <c r="R5" i="8"/>
  <c r="Q5" i="8"/>
  <c r="P5" i="8"/>
  <c r="O5" i="8"/>
  <c r="N5" i="8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N204" i="5"/>
  <c r="M204" i="5"/>
  <c r="N203" i="5"/>
  <c r="M203" i="5"/>
  <c r="N202" i="5"/>
  <c r="M202" i="5"/>
  <c r="N201" i="5"/>
  <c r="M201" i="5"/>
  <c r="N200" i="5"/>
  <c r="M200" i="5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C10" i="1" s="1"/>
  <c r="M5" i="5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C8" i="1" s="1"/>
  <c r="K5" i="4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G10" i="1"/>
  <c r="G8" i="1"/>
  <c r="G6" i="1"/>
  <c r="C6" i="1"/>
</calcChain>
</file>

<file path=xl/sharedStrings.xml><?xml version="1.0" encoding="utf-8"?>
<sst xmlns="http://schemas.openxmlformats.org/spreadsheetml/2006/main" count="221" uniqueCount="208">
  <si>
    <t>STAFFING REVENUE COMMAND CENTER</t>
  </si>
  <si>
    <t>Your weekly view of account priority, pipeline quality, req health, and conversion.</t>
  </si>
  <si>
    <t>REVENUE SNAPSHOT</t>
  </si>
  <si>
    <t>A-Tier Accounts</t>
  </si>
  <si>
    <t>At-Risk Clients</t>
  </si>
  <si>
    <t>Weighted BD Pipeline</t>
  </si>
  <si>
    <t>Latest Fee Revenue</t>
  </si>
  <si>
    <t>Green Requisitions</t>
  </si>
  <si>
    <t>Latest Offer Acceptance</t>
  </si>
  <si>
    <t>FRIDAY REVIEW</t>
  </si>
  <si>
    <t>• Which five accounts deserve the most attention next week?</t>
  </si>
  <si>
    <t>• Which opportunities stalled, and at what stage?</t>
  </si>
  <si>
    <t>• Which requisitions are consuming time without enough probability or margin?</t>
  </si>
  <si>
    <t>• Where is candidate conversion breaking?</t>
  </si>
  <si>
    <t>• Which client has earned an expansion conversation?</t>
  </si>
  <si>
    <t>• What work should stop because it creates activity without revenue movement?</t>
  </si>
  <si>
    <t>ACCOUNT OPPORTUNITY SCORING</t>
  </si>
  <si>
    <t>Prioritize recruiter time by probability + economics, not logo recognition.</t>
  </si>
  <si>
    <t>Company</t>
  </si>
  <si>
    <t>Niche / Market</t>
  </si>
  <si>
    <t>ICP Fit 1-5</t>
  </si>
  <si>
    <t>Signal 1-5</t>
  </si>
  <si>
    <t>Hiring Volume 1-5</t>
  </si>
  <si>
    <t>Scarcity 1-5</t>
  </si>
  <si>
    <t>Decision Access 1-5</t>
  </si>
  <si>
    <t>Fee Potential 1-5</t>
  </si>
  <si>
    <t>Expansion 1-5</t>
  </si>
  <si>
    <t>Score /100</t>
  </si>
  <si>
    <t>Tier</t>
  </si>
  <si>
    <t>Next Action</t>
  </si>
  <si>
    <t>Last Updated</t>
  </si>
  <si>
    <t>HIRING SIGNAL TRACKER</t>
  </si>
  <si>
    <t>Record evidence first. Treat implications as hypotheses until validated.</t>
  </si>
  <si>
    <t>Date</t>
  </si>
  <si>
    <t>Signal Type</t>
  </si>
  <si>
    <t>Observed Fact / Evidence</t>
  </si>
  <si>
    <t>Source / URL</t>
  </si>
  <si>
    <t>Strength 1-5</t>
  </si>
  <si>
    <t>Likely Implication</t>
  </si>
  <si>
    <t>Hypothesis to Validate</t>
  </si>
  <si>
    <t>Owner</t>
  </si>
  <si>
    <t>BUSINESS DEVELOPMENT PIPELINE</t>
  </si>
  <si>
    <t>Every active opportunity needs a stage, next action, and date.</t>
  </si>
  <si>
    <t>Contact</t>
  </si>
  <si>
    <t>Persona</t>
  </si>
  <si>
    <t>Stage</t>
  </si>
  <si>
    <t>Account Score</t>
  </si>
  <si>
    <t>Last Touch</t>
  </si>
  <si>
    <t>Next Touch</t>
  </si>
  <si>
    <t>Est. Fee Revenue</t>
  </si>
  <si>
    <t>Probability</t>
  </si>
  <si>
    <t>Weighted Revenue</t>
  </si>
  <si>
    <t>Notes</t>
  </si>
  <si>
    <t>JOB ORDER PROFITABILITY &amp; FILLABILITY</t>
  </si>
  <si>
    <t>Green = prioritize. Yellow = repair conditions. Red = renegotiate or deprioritize.</t>
  </si>
  <si>
    <t>Client</t>
  </si>
  <si>
    <t>Role</t>
  </si>
  <si>
    <t>Urgency</t>
  </si>
  <si>
    <t>Comp Realism</t>
  </si>
  <si>
    <t>Clarity</t>
  </si>
  <si>
    <t>Candidate Availability</t>
  </si>
  <si>
    <t>Manager Access</t>
  </si>
  <si>
    <t>Interview Speed</t>
  </si>
  <si>
    <t>Client Commitment</t>
  </si>
  <si>
    <t>Competition Control</t>
  </si>
  <si>
    <t>Fee Quality</t>
  </si>
  <si>
    <t>Expansion</t>
  </si>
  <si>
    <t>Total /50</t>
  </si>
  <si>
    <t>Class</t>
  </si>
  <si>
    <t>Est. Fee</t>
  </si>
  <si>
    <t>Status</t>
  </si>
  <si>
    <t>CANDIDATE PIPELINE &amp; OFFER RISK</t>
  </si>
  <si>
    <t>Track verified fit and decision risk without turning AI into the decision maker.</t>
  </si>
  <si>
    <t>Candidate</t>
  </si>
  <si>
    <t>Must-Have Fit 1-5</t>
  </si>
  <si>
    <t>Motivation 1-5</t>
  </si>
  <si>
    <t>Comp Aligned?</t>
  </si>
  <si>
    <t>Logistics Aligned?</t>
  </si>
  <si>
    <t>Competing Processes</t>
  </si>
  <si>
    <t>Counteroffer Risk</t>
  </si>
  <si>
    <t>Next Step</t>
  </si>
  <si>
    <t>Next Step Date</t>
  </si>
  <si>
    <t>CLIENT HEALTH &amp; EXPANSION</t>
  </si>
  <si>
    <t>Make churn risk and account-growth opportunities visible before they become urgent.</t>
  </si>
  <si>
    <t>Hiring Activity</t>
  </si>
  <si>
    <t>Responsiveness</t>
  </si>
  <si>
    <t>Req Quality</t>
  </si>
  <si>
    <t>Fee/Margin</t>
  </si>
  <si>
    <t>Relationship Access</t>
  </si>
  <si>
    <t>Expansion Potential</t>
  </si>
  <si>
    <t>Risk Flags 0-5</t>
  </si>
  <si>
    <t>Health Score</t>
  </si>
  <si>
    <t>Expansion Opportunity</t>
  </si>
  <si>
    <t>Next Review</t>
  </si>
  <si>
    <t>WEEKLY REVENUE SCOREBOARD</t>
  </si>
  <si>
    <t>Measure conversion and outcomes - not just activity.</t>
  </si>
  <si>
    <t>Week Ending</t>
  </si>
  <si>
    <t>Outbound Contacts</t>
  </si>
  <si>
    <t>Replies</t>
  </si>
  <si>
    <t>Qualified Conversations</t>
  </si>
  <si>
    <t>Discovery Calls</t>
  </si>
  <si>
    <t>New Job Orders</t>
  </si>
  <si>
    <t>Controlled Searches</t>
  </si>
  <si>
    <t>Submissions</t>
  </si>
  <si>
    <t>Interviews</t>
  </si>
  <si>
    <t>Offers</t>
  </si>
  <si>
    <t>Placements</t>
  </si>
  <si>
    <t>Expansion Wins</t>
  </si>
  <si>
    <t>Fee Revenue</t>
  </si>
  <si>
    <t>Response Rate</t>
  </si>
  <si>
    <t>Conversation Rate</t>
  </si>
  <si>
    <t>Discovery-&gt;JO</t>
  </si>
  <si>
    <t>Submit-&gt;Interview</t>
  </si>
  <si>
    <t>Interview-&gt;Offer</t>
  </si>
  <si>
    <t>Offer Acceptance</t>
  </si>
  <si>
    <t>30-DAY STAFFING REVENUE SPRINT</t>
  </si>
  <si>
    <t>Install the system one practical action at a time.</t>
  </si>
  <si>
    <t>Day</t>
  </si>
  <si>
    <t>Focus</t>
  </si>
  <si>
    <t>Action</t>
  </si>
  <si>
    <t>Complete?</t>
  </si>
  <si>
    <t>Choose the niche</t>
  </si>
  <si>
    <t>Score 2-3 possible niches; select one primary market.</t>
  </si>
  <si>
    <t>Define the ICP</t>
  </si>
  <si>
    <t>Write measurable company, hiring, geography, and role criteria.</t>
  </si>
  <si>
    <t>Build 25 accounts</t>
  </si>
  <si>
    <t>Create the first focused target list.</t>
  </si>
  <si>
    <t>Capture signals</t>
  </si>
  <si>
    <t>Record verified hiring/business signals.</t>
  </si>
  <si>
    <t>Score accounts</t>
  </si>
  <si>
    <t>Identify A/B/C tiers.</t>
  </si>
  <si>
    <t>Build proof</t>
  </si>
  <si>
    <t>Document supportable outcomes and market observations.</t>
  </si>
  <si>
    <t>Review Week 1</t>
  </si>
  <si>
    <t>Remove weak targets and tighten the niche.</t>
  </si>
  <si>
    <t>Create account briefs</t>
  </si>
  <si>
    <t>Build two-minute briefs for the top 10 accounts.</t>
  </si>
  <si>
    <t>Write persona messaging</t>
  </si>
  <si>
    <t>Create hiring-manager and HR/TA versions.</t>
  </si>
  <si>
    <t>Launch first touches</t>
  </si>
  <si>
    <t>Start with the highest-scoring accounts.</t>
  </si>
  <si>
    <t>Call with hypotheses</t>
  </si>
  <si>
    <t>Use one signal and one diagnostic question.</t>
  </si>
  <si>
    <t>Add LinkedIn</t>
  </si>
  <si>
    <t>Connect with context, not a pitch.</t>
  </si>
  <si>
    <t>Review replies</t>
  </si>
  <si>
    <t>Classify intent and objections.</t>
  </si>
  <si>
    <t>Review Week 2</t>
  </si>
  <si>
    <t>Measure response and conversation rate.</t>
  </si>
  <si>
    <t>Build discovery</t>
  </si>
  <si>
    <t>Prepare the discovery framework.</t>
  </si>
  <si>
    <t>Prepare insights</t>
  </si>
  <si>
    <t>Create supportable talent/process observations.</t>
  </si>
  <si>
    <t>Practice objections</t>
  </si>
  <si>
    <t>Vendor, fee, internal TA, timing.</t>
  </si>
  <si>
    <t>Install req scorecard</t>
  </si>
  <si>
    <t>Set Green/Yellow/Red thresholds.</t>
  </si>
  <si>
    <t>Define search rules</t>
  </si>
  <si>
    <t>Set minimum access, feedback, compensation, process.</t>
  </si>
  <si>
    <t>Create exclusive option</t>
  </si>
  <si>
    <t>Define a focused launch and review point.</t>
  </si>
  <si>
    <t>Review Week 3</t>
  </si>
  <si>
    <t>Find where deals stall.</t>
  </si>
  <si>
    <t>Standardize intake</t>
  </si>
  <si>
    <t>Turn every req into a hiring blueprint.</t>
  </si>
  <si>
    <t>Standardize screening</t>
  </si>
  <si>
    <t>Create role-specific screen and offer-risk questions.</t>
  </si>
  <si>
    <t>Standardize submissions</t>
  </si>
  <si>
    <t>Use concise verified candidate briefs.</t>
  </si>
  <si>
    <t>Set feedback SLA</t>
  </si>
  <si>
    <t>Agree on timing and format.</t>
  </si>
  <si>
    <t>Run offer-risk checks</t>
  </si>
  <si>
    <t>Reconfirm decision factors before offer.</t>
  </si>
  <si>
    <t>Map expansion</t>
  </si>
  <si>
    <t>Identify adjacent opportunities after delivery.</t>
  </si>
  <si>
    <t>Review client health</t>
  </si>
  <si>
    <t>Score active accounts and churn risk.</t>
  </si>
  <si>
    <t>Run revenue review</t>
  </si>
  <si>
    <t>Analyze pipeline, conversion, fillability, expected fees.</t>
  </si>
  <si>
    <t>Lock the cadence</t>
  </si>
  <si>
    <t>Choose daily priorities and a weekly review time; repeat.</t>
  </si>
  <si>
    <t>Companion workbook to The AI Staffing Revenue Toolkit</t>
  </si>
  <si>
    <t>START HERE</t>
  </si>
  <si>
    <t>1</t>
  </si>
  <si>
    <t>Account Scoring</t>
  </si>
  <si>
    <t>Score prospects before outreach. A = engage now, B = nurture/investigate, C = monitor.</t>
  </si>
  <si>
    <t>2</t>
  </si>
  <si>
    <t>Hiring Signals</t>
  </si>
  <si>
    <t>Record verified evidence and separate facts from hypotheses.</t>
  </si>
  <si>
    <t>3</t>
  </si>
  <si>
    <t>BD Pipeline</t>
  </si>
  <si>
    <t>Track stage, next action, estimated fee revenue, and probability.</t>
  </si>
  <si>
    <t>4</t>
  </si>
  <si>
    <t>Req Scorecard</t>
  </si>
  <si>
    <t>Score every requisition before committing heavy delivery time.</t>
  </si>
  <si>
    <t>5</t>
  </si>
  <si>
    <t>Candidate Pipeline</t>
  </si>
  <si>
    <t>Track candidate stage and offer-risk factors.</t>
  </si>
  <si>
    <t>6</t>
  </si>
  <si>
    <t>Client Health</t>
  </si>
  <si>
    <t>Make account risk and expansion potential visible.</t>
  </si>
  <si>
    <t>7</t>
  </si>
  <si>
    <t>Weekly Metrics</t>
  </si>
  <si>
    <t>Enter weekly outcomes; conversion formulas calculate automatically.</t>
  </si>
  <si>
    <t>8</t>
  </si>
  <si>
    <t>30-Day Sprint</t>
  </si>
  <si>
    <t>Use the implementation plan to install the system.</t>
  </si>
  <si>
    <t>Operating rule: Facts first. Hypotheses second. AI output third. Human judgment always.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</si>
</sst>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>
    <font>
      <sz val="11"/>
      <name val="Carlito"/>
    </font>
    <font>
      <b/>
      <sz val="18"/>
      <color rgb="FFFFFFFF"/>
      <name val="Carlito"/>
    </font>
    <font>
      <i/>
      <sz val="11"/>
      <color rgb="FF5E6B75"/>
      <name val="Carlito"/>
    </font>
    <font>
      <b/>
      <sz val="11"/>
      <color rgb="FFFFFFFF"/>
      <name val="Carlito"/>
    </font>
    <font>
      <b/>
      <sz val="12"/>
      <color rgb="FF18324A"/>
      <name val="Carlito"/>
    </font>
    <font>
      <b/>
      <sz val="11"/>
      <color rgb="FF18324A"/>
      <name val="Carlito"/>
    </font>
    <font>
      <b/>
      <sz val="16"/>
      <color rgb="FF2F9E64"/>
      <name val="Carlito"/>
    </font>
    <font>
      <sz val="11"/>
      <color rgb="FF18324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8324A"/>
      </patternFill>
    </fill>
    <fill>
      <patternFill patternType="solid">
        <fgColor rgb="FFEAF2F8"/>
      </patternFill>
    </fill>
    <fill>
      <patternFill patternType="solid">
        <fgColor rgb="FF2F9E64"/>
      </patternFill>
    </fill>
    <fill>
      <patternFill patternType="solid">
        <fgColor rgb="FFEEF7F1"/>
      </patternFill>
    </fill>
    <fill>
      <patternFill patternType="solid">
        <fgColor rgb="FF1F5A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3" fillId="6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7" fillId="0" borderId="0" xfId="0" applyFont="1" applyAlignment="1">
      <alignment wrapText="1"/>
    </xf>
    <xf numFmtId="164" fontId="6" fillId="0" borderId="0" xfId="0" applyNumberFormat="1" applyFont="1" applyAlignment="1">
      <alignment horizontal="center" wrapText="1"/>
    </xf>
    <xf numFmtId="0" fontId="5" fillId="3" borderId="0" xfId="0" applyFont="1" applyFill="1" applyAlignment="1">
      <alignment wrapText="1"/>
    </xf>
    <xf numFmtId="165" fontId="6" fillId="0" borderId="0" xfId="0" applyNumberFormat="1" applyFont="1" applyAlignment="1">
      <alignment horizontal="center" wrapText="1"/>
    </xf>
    <xf numFmtId="0" fontId="3" fillId="6" borderId="0" xfId="0" applyFont="1" applyFill="1" applyAlignment="1">
      <alignment wrapText="1"/>
    </xf>
    <xf numFmtId="1" fontId="6" fillId="0" borderId="0" xfId="0" applyNumberFormat="1" applyFont="1" applyAlignment="1">
      <alignment horizontal="center" wrapText="1"/>
    </xf>
    <xf numFmtId="0" fontId="3" fillId="4" borderId="0" xfId="0" applyFont="1" applyFill="1" applyAlignment="1">
      <alignment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4"/>
  <sheetViews>
    <sheetView workbookViewId="0">
      <selection sqref="A1:H1"/>
    </sheetView>
  </sheetViews>
  <sheetFormatPr defaultRowHeight="14"/>
  <cols>
    <col min="1" max="8" width="16" customWidth="1"/>
  </cols>
  <sheetData>
    <row r="1" spans="1:26" ht="21.4" customHeight="1">
      <c r="A1" s="5" t="s">
        <v>0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1</v>
      </c>
      <c r="B2" s="6"/>
      <c r="C2" s="6"/>
      <c r="D2" s="6"/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3" t="s">
        <v>2</v>
      </c>
      <c r="B4" s="13"/>
      <c r="C4" s="13"/>
      <c r="D4" s="13"/>
      <c r="E4" s="13"/>
      <c r="F4" s="13"/>
      <c r="G4" s="13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">
      <c r="A6" s="9" t="s">
        <v>3</v>
      </c>
      <c r="B6" s="9"/>
      <c r="C6" s="12">
        <f>COUNTIF('Account Scoring'!K5:K104,"A")</f>
        <v>0</v>
      </c>
      <c r="D6" s="12"/>
      <c r="E6" s="9" t="s">
        <v>4</v>
      </c>
      <c r="F6" s="9"/>
      <c r="G6" s="12">
        <f>COUNTIF('Client Health'!J5:J204,"At Risk")</f>
        <v>0</v>
      </c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>
      <c r="A8" s="9" t="s">
        <v>5</v>
      </c>
      <c r="B8" s="9"/>
      <c r="C8" s="8">
        <f>SUM('BD Pipeline'!K5:K304)</f>
        <v>0</v>
      </c>
      <c r="D8" s="8"/>
      <c r="E8" s="9" t="s">
        <v>6</v>
      </c>
      <c r="F8" s="9"/>
      <c r="G8" s="8">
        <f>IFERROR(LOOKUP(2,1/('Weekly Metrics'!A5:A108&lt;&gt;""),'Weekly Metrics'!M5:M108),0)</f>
        <v>0</v>
      </c>
      <c r="H8" s="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>
      <c r="A10" s="9" t="s">
        <v>7</v>
      </c>
      <c r="B10" s="9"/>
      <c r="C10" s="12">
        <f>COUNTIF('Req Scorecard'!N5:N204,"GREEN")</f>
        <v>0</v>
      </c>
      <c r="D10" s="12"/>
      <c r="E10" s="9" t="s">
        <v>8</v>
      </c>
      <c r="F10" s="9"/>
      <c r="G10" s="10">
        <f>IFERROR(LOOKUP(2,1/('Weekly Metrics'!A5:A108&lt;&gt;""),'Weekly Metrics'!S5:S108),0)</f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1" t="s">
        <v>9</v>
      </c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7" t="s">
        <v>10</v>
      </c>
      <c r="B15" s="7"/>
      <c r="C15" s="7"/>
      <c r="D15" s="7"/>
      <c r="E15" s="7"/>
      <c r="F15" s="7"/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7" t="s">
        <v>11</v>
      </c>
      <c r="B16" s="7"/>
      <c r="C16" s="7"/>
      <c r="D16" s="7"/>
      <c r="E16" s="7"/>
      <c r="F16" s="7"/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7" t="s">
        <v>12</v>
      </c>
      <c r="B17" s="7"/>
      <c r="C17" s="7"/>
      <c r="D17" s="7"/>
      <c r="E17" s="7"/>
      <c r="F17" s="7"/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7" t="s">
        <v>13</v>
      </c>
      <c r="B18" s="7"/>
      <c r="C18" s="7"/>
      <c r="D18" s="7"/>
      <c r="E18" s="7"/>
      <c r="F18" s="7"/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7" t="s">
        <v>14</v>
      </c>
      <c r="B19" s="7"/>
      <c r="C19" s="7"/>
      <c r="D19" s="7"/>
      <c r="E19" s="7"/>
      <c r="F19" s="7"/>
      <c r="G19" s="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7" t="s">
        <v>15</v>
      </c>
      <c r="B20" s="7"/>
      <c r="C20" s="7"/>
      <c r="D20" s="7"/>
      <c r="E20" s="7"/>
      <c r="F20" s="7"/>
      <c r="G20" s="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2">
    <mergeCell ref="E6:F6"/>
    <mergeCell ref="E8:F8"/>
    <mergeCell ref="A1:H1"/>
    <mergeCell ref="A2:H2"/>
    <mergeCell ref="A4:H4"/>
    <mergeCell ref="A6:B6"/>
    <mergeCell ref="C6:D6"/>
    <mergeCell ref="G6:H6"/>
    <mergeCell ref="G8:H8"/>
    <mergeCell ref="E10:F10"/>
    <mergeCell ref="G10:H10"/>
    <mergeCell ref="A13:H13"/>
    <mergeCell ref="A15:H15"/>
    <mergeCell ref="A8:B8"/>
    <mergeCell ref="C8:D8"/>
    <mergeCell ref="A10:B10"/>
    <mergeCell ref="C10:D10"/>
    <mergeCell ref="A16:H16"/>
    <mergeCell ref="A17:H17"/>
    <mergeCell ref="A18:H18"/>
    <mergeCell ref="A19:H19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04"/>
  <sheetViews>
    <sheetView workbookViewId="0">
      <selection sqref="A1:M1"/>
    </sheetView>
  </sheetViews>
  <sheetFormatPr defaultRowHeight="14"/>
  <cols>
    <col min="1" max="2" width="20" customWidth="1"/>
    <col min="3" max="3" width="9.33203125" customWidth="1"/>
    <col min="4" max="4" width="10.1640625" customWidth="1"/>
    <col min="5" max="5" width="10.75" customWidth="1"/>
    <col min="6" max="6" width="10.6640625" customWidth="1"/>
    <col min="7" max="7" width="10.58203125" customWidth="1"/>
    <col min="8" max="8" width="12.25" customWidth="1"/>
    <col min="9" max="9" width="10.33203125" customWidth="1"/>
    <col min="10" max="10" width="10.58203125" customWidth="1"/>
  </cols>
  <sheetData>
    <row r="1" spans="1:26" ht="21.4" customHeight="1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 t="str">
        <f t="shared" ref="J5:J36" si="0">IF(A5="","",ROUND((C5*20+D5*20+E5*15+F5*15+G5*10+H5*10+I5*10)/5,0))</f>
        <v/>
      </c>
      <c r="K5" s="1" t="str">
        <f t="shared" ref="K5:K36" si="1">IF(A5="","",IF(J5&gt;=80,"A",IF(J5&gt;=60,"B","C")))</f>
        <v/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 t="str">
        <f t="shared" si="0"/>
        <v/>
      </c>
      <c r="K6" s="1" t="str">
        <f t="shared" si="1"/>
        <v/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 t="str">
        <f t="shared" si="0"/>
        <v/>
      </c>
      <c r="K7" s="1" t="str">
        <f t="shared" si="1"/>
        <v/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 t="str">
        <f t="shared" si="0"/>
        <v/>
      </c>
      <c r="K8" s="1" t="str">
        <f t="shared" si="1"/>
        <v/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 t="str">
        <f t="shared" si="0"/>
        <v/>
      </c>
      <c r="K9" s="1" t="str">
        <f t="shared" si="1"/>
        <v/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 t="str">
        <f t="shared" si="0"/>
        <v/>
      </c>
      <c r="K10" s="1" t="str">
        <f t="shared" si="1"/>
        <v/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 t="str">
        <f t="shared" si="0"/>
        <v/>
      </c>
      <c r="K11" s="1" t="str">
        <f t="shared" si="1"/>
        <v/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 t="str">
        <f t="shared" si="0"/>
        <v/>
      </c>
      <c r="K12" s="1" t="str">
        <f t="shared" si="1"/>
        <v/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 t="str">
        <f t="shared" si="0"/>
        <v/>
      </c>
      <c r="K13" s="1" t="str">
        <f t="shared" si="1"/>
        <v/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 t="str">
        <f t="shared" si="0"/>
        <v/>
      </c>
      <c r="K14" s="1" t="str">
        <f t="shared" si="1"/>
        <v/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 t="str">
        <f t="shared" si="0"/>
        <v/>
      </c>
      <c r="K15" s="1" t="str">
        <f t="shared" si="1"/>
        <v/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 t="str">
        <f t="shared" si="0"/>
        <v/>
      </c>
      <c r="K16" s="1" t="str">
        <f t="shared" si="1"/>
        <v/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 t="str">
        <f t="shared" si="0"/>
        <v/>
      </c>
      <c r="K17" s="1" t="str">
        <f t="shared" si="1"/>
        <v/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 t="str">
        <f t="shared" si="0"/>
        <v/>
      </c>
      <c r="K18" s="1" t="str">
        <f t="shared" si="1"/>
        <v/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 t="str">
        <f t="shared" si="0"/>
        <v/>
      </c>
      <c r="K19" s="1" t="str">
        <f t="shared" si="1"/>
        <v/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 t="str">
        <f t="shared" si="0"/>
        <v/>
      </c>
      <c r="K20" s="1" t="str">
        <f t="shared" si="1"/>
        <v/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 t="str">
        <f t="shared" si="0"/>
        <v/>
      </c>
      <c r="K21" s="1" t="str">
        <f t="shared" si="1"/>
        <v/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 t="str">
        <f t="shared" si="0"/>
        <v/>
      </c>
      <c r="K22" s="1" t="str">
        <f t="shared" si="1"/>
        <v/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 t="str">
        <f t="shared" si="0"/>
        <v/>
      </c>
      <c r="K23" s="1" t="str">
        <f t="shared" si="1"/>
        <v/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 t="str">
        <f t="shared" si="0"/>
        <v/>
      </c>
      <c r="K24" s="1" t="str">
        <f t="shared" si="1"/>
        <v/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 t="str">
        <f t="shared" si="0"/>
        <v/>
      </c>
      <c r="K25" s="1" t="str">
        <f t="shared" si="1"/>
        <v/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 t="str">
        <f t="shared" si="0"/>
        <v/>
      </c>
      <c r="K26" s="1" t="str">
        <f t="shared" si="1"/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 t="str">
        <f t="shared" si="0"/>
        <v/>
      </c>
      <c r="K27" s="1" t="str">
        <f t="shared" si="1"/>
        <v/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 t="str">
        <f t="shared" si="0"/>
        <v/>
      </c>
      <c r="K28" s="1" t="str">
        <f t="shared" si="1"/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 t="str">
        <f t="shared" si="0"/>
        <v/>
      </c>
      <c r="K29" s="1" t="str">
        <f t="shared" si="1"/>
        <v/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 t="str">
        <f t="shared" si="0"/>
        <v/>
      </c>
      <c r="K30" s="1" t="str">
        <f t="shared" si="1"/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 t="str">
        <f t="shared" si="0"/>
        <v/>
      </c>
      <c r="K31" s="1" t="str">
        <f t="shared" si="1"/>
        <v/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 t="str">
        <f t="shared" si="0"/>
        <v/>
      </c>
      <c r="K32" s="1" t="str">
        <f t="shared" si="1"/>
        <v/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 t="str">
        <f t="shared" si="0"/>
        <v/>
      </c>
      <c r="K33" s="1" t="str">
        <f t="shared" si="1"/>
        <v/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 t="str">
        <f t="shared" si="0"/>
        <v/>
      </c>
      <c r="K34" s="1" t="str">
        <f t="shared" si="1"/>
        <v/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 t="str">
        <f t="shared" si="0"/>
        <v/>
      </c>
      <c r="K35" s="1" t="str">
        <f t="shared" si="1"/>
        <v/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 t="str">
        <f t="shared" si="0"/>
        <v/>
      </c>
      <c r="K36" s="1" t="str">
        <f t="shared" si="1"/>
        <v/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 t="str">
        <f t="shared" ref="J37:J68" si="2">IF(A37="","",ROUND((C37*20+D37*20+E37*15+F37*15+G37*10+H37*10+I37*10)/5,0))</f>
        <v/>
      </c>
      <c r="K37" s="1" t="str">
        <f t="shared" ref="K37:K68" si="3">IF(A37="","",IF(J37&gt;=80,"A",IF(J37&gt;=60,"B","C")))</f>
        <v/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 t="str">
        <f t="shared" si="2"/>
        <v/>
      </c>
      <c r="K38" s="1" t="str">
        <f t="shared" si="3"/>
        <v/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 t="str">
        <f t="shared" si="2"/>
        <v/>
      </c>
      <c r="K39" s="1" t="str">
        <f t="shared" si="3"/>
        <v/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 t="str">
        <f t="shared" si="2"/>
        <v/>
      </c>
      <c r="K40" s="1" t="str">
        <f t="shared" si="3"/>
        <v/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 t="str">
        <f t="shared" si="2"/>
        <v/>
      </c>
      <c r="K41" s="1" t="str">
        <f t="shared" si="3"/>
        <v/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 t="str">
        <f t="shared" si="2"/>
        <v/>
      </c>
      <c r="K42" s="1" t="str">
        <f t="shared" si="3"/>
        <v/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 t="str">
        <f t="shared" si="2"/>
        <v/>
      </c>
      <c r="K43" s="1" t="str">
        <f t="shared" si="3"/>
        <v/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 t="str">
        <f t="shared" si="2"/>
        <v/>
      </c>
      <c r="K44" s="1" t="str">
        <f t="shared" si="3"/>
        <v/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 t="str">
        <f t="shared" si="2"/>
        <v/>
      </c>
      <c r="K45" s="1" t="str">
        <f t="shared" si="3"/>
        <v/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 t="str">
        <f t="shared" si="2"/>
        <v/>
      </c>
      <c r="K46" s="1" t="str">
        <f t="shared" si="3"/>
        <v/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 t="str">
        <f t="shared" si="2"/>
        <v/>
      </c>
      <c r="K47" s="1" t="str">
        <f t="shared" si="3"/>
        <v/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 t="str">
        <f t="shared" si="2"/>
        <v/>
      </c>
      <c r="K48" s="1" t="str">
        <f t="shared" si="3"/>
        <v/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 t="str">
        <f t="shared" si="2"/>
        <v/>
      </c>
      <c r="K49" s="1" t="str">
        <f t="shared" si="3"/>
        <v/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 t="str">
        <f t="shared" si="2"/>
        <v/>
      </c>
      <c r="K50" s="1" t="str">
        <f t="shared" si="3"/>
        <v/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 t="str">
        <f t="shared" si="2"/>
        <v/>
      </c>
      <c r="K51" s="1" t="str">
        <f t="shared" si="3"/>
        <v/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 t="str">
        <f t="shared" si="2"/>
        <v/>
      </c>
      <c r="K52" s="1" t="str">
        <f t="shared" si="3"/>
        <v/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 t="str">
        <f t="shared" si="2"/>
        <v/>
      </c>
      <c r="K53" s="1" t="str">
        <f t="shared" si="3"/>
        <v/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 t="str">
        <f t="shared" si="2"/>
        <v/>
      </c>
      <c r="K54" s="1" t="str">
        <f t="shared" si="3"/>
        <v/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 t="str">
        <f t="shared" si="2"/>
        <v/>
      </c>
      <c r="K55" s="1" t="str">
        <f t="shared" si="3"/>
        <v/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 t="str">
        <f t="shared" si="2"/>
        <v/>
      </c>
      <c r="K56" s="1" t="str">
        <f t="shared" si="3"/>
        <v/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 t="str">
        <f t="shared" si="2"/>
        <v/>
      </c>
      <c r="K57" s="1" t="str">
        <f t="shared" si="3"/>
        <v/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 t="str">
        <f t="shared" si="2"/>
        <v/>
      </c>
      <c r="K58" s="1" t="str">
        <f t="shared" si="3"/>
        <v/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 t="str">
        <f t="shared" si="2"/>
        <v/>
      </c>
      <c r="K59" s="1" t="str">
        <f t="shared" si="3"/>
        <v/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 t="str">
        <f t="shared" si="2"/>
        <v/>
      </c>
      <c r="K60" s="1" t="str">
        <f t="shared" si="3"/>
        <v/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 t="str">
        <f t="shared" si="2"/>
        <v/>
      </c>
      <c r="K61" s="1" t="str">
        <f t="shared" si="3"/>
        <v/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 t="str">
        <f t="shared" si="2"/>
        <v/>
      </c>
      <c r="K62" s="1" t="str">
        <f t="shared" si="3"/>
        <v/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 t="str">
        <f t="shared" si="2"/>
        <v/>
      </c>
      <c r="K63" s="1" t="str">
        <f t="shared" si="3"/>
        <v/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 t="str">
        <f t="shared" si="2"/>
        <v/>
      </c>
      <c r="K64" s="1" t="str">
        <f t="shared" si="3"/>
        <v/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 t="str">
        <f t="shared" si="2"/>
        <v/>
      </c>
      <c r="K65" s="1" t="str">
        <f t="shared" si="3"/>
        <v/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 t="str">
        <f t="shared" si="2"/>
        <v/>
      </c>
      <c r="K66" s="1" t="str">
        <f t="shared" si="3"/>
        <v/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 t="str">
        <f t="shared" si="2"/>
        <v/>
      </c>
      <c r="K67" s="1" t="str">
        <f t="shared" si="3"/>
        <v/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 t="str">
        <f t="shared" si="2"/>
        <v/>
      </c>
      <c r="K68" s="1" t="str">
        <f t="shared" si="3"/>
        <v/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 t="str">
        <f t="shared" ref="J69:J100" si="4">IF(A69="","",ROUND((C69*20+D69*20+E69*15+F69*15+G69*10+H69*10+I69*10)/5,0))</f>
        <v/>
      </c>
      <c r="K69" s="1" t="str">
        <f t="shared" ref="K69:K100" si="5">IF(A69="","",IF(J69&gt;=80,"A",IF(J69&gt;=60,"B","C")))</f>
        <v/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 t="str">
        <f t="shared" si="4"/>
        <v/>
      </c>
      <c r="K70" s="1" t="str">
        <f t="shared" si="5"/>
        <v/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 t="str">
        <f t="shared" si="4"/>
        <v/>
      </c>
      <c r="K71" s="1" t="str">
        <f t="shared" si="5"/>
        <v/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 t="str">
        <f t="shared" si="4"/>
        <v/>
      </c>
      <c r="K72" s="1" t="str">
        <f t="shared" si="5"/>
        <v/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 t="str">
        <f t="shared" si="4"/>
        <v/>
      </c>
      <c r="K73" s="1" t="str">
        <f t="shared" si="5"/>
        <v/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 t="str">
        <f t="shared" si="4"/>
        <v/>
      </c>
      <c r="K74" s="1" t="str">
        <f t="shared" si="5"/>
        <v/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 t="str">
        <f t="shared" si="4"/>
        <v/>
      </c>
      <c r="K75" s="1" t="str">
        <f t="shared" si="5"/>
        <v/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 t="str">
        <f t="shared" si="4"/>
        <v/>
      </c>
      <c r="K76" s="1" t="str">
        <f t="shared" si="5"/>
        <v/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 t="str">
        <f t="shared" si="4"/>
        <v/>
      </c>
      <c r="K77" s="1" t="str">
        <f t="shared" si="5"/>
        <v/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 t="str">
        <f t="shared" si="4"/>
        <v/>
      </c>
      <c r="K78" s="1" t="str">
        <f t="shared" si="5"/>
        <v/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 t="str">
        <f t="shared" si="4"/>
        <v/>
      </c>
      <c r="K79" s="1" t="str">
        <f t="shared" si="5"/>
        <v/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 t="str">
        <f t="shared" si="4"/>
        <v/>
      </c>
      <c r="K80" s="1" t="str">
        <f t="shared" si="5"/>
        <v/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 t="str">
        <f t="shared" si="4"/>
        <v/>
      </c>
      <c r="K81" s="1" t="str">
        <f t="shared" si="5"/>
        <v/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 t="str">
        <f t="shared" si="4"/>
        <v/>
      </c>
      <c r="K82" s="1" t="str">
        <f t="shared" si="5"/>
        <v/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 t="str">
        <f t="shared" si="4"/>
        <v/>
      </c>
      <c r="K83" s="1" t="str">
        <f t="shared" si="5"/>
        <v/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 t="str">
        <f t="shared" si="4"/>
        <v/>
      </c>
      <c r="K84" s="1" t="str">
        <f t="shared" si="5"/>
        <v/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 t="str">
        <f t="shared" si="4"/>
        <v/>
      </c>
      <c r="K85" s="1" t="str">
        <f t="shared" si="5"/>
        <v/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 t="str">
        <f t="shared" si="4"/>
        <v/>
      </c>
      <c r="K86" s="1" t="str">
        <f t="shared" si="5"/>
        <v/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 t="str">
        <f t="shared" si="4"/>
        <v/>
      </c>
      <c r="K87" s="1" t="str">
        <f t="shared" si="5"/>
        <v/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 t="str">
        <f t="shared" si="4"/>
        <v/>
      </c>
      <c r="K88" s="1" t="str">
        <f t="shared" si="5"/>
        <v/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 t="str">
        <f t="shared" si="4"/>
        <v/>
      </c>
      <c r="K89" s="1" t="str">
        <f t="shared" si="5"/>
        <v/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 t="str">
        <f t="shared" si="4"/>
        <v/>
      </c>
      <c r="K90" s="1" t="str">
        <f t="shared" si="5"/>
        <v/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 t="str">
        <f t="shared" si="4"/>
        <v/>
      </c>
      <c r="K91" s="1" t="str">
        <f t="shared" si="5"/>
        <v/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 t="str">
        <f t="shared" si="4"/>
        <v/>
      </c>
      <c r="K92" s="1" t="str">
        <f t="shared" si="5"/>
        <v/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 t="str">
        <f t="shared" si="4"/>
        <v/>
      </c>
      <c r="K93" s="1" t="str">
        <f t="shared" si="5"/>
        <v/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 t="str">
        <f t="shared" si="4"/>
        <v/>
      </c>
      <c r="K94" s="1" t="str">
        <f t="shared" si="5"/>
        <v/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 t="str">
        <f t="shared" si="4"/>
        <v/>
      </c>
      <c r="K95" s="1" t="str">
        <f t="shared" si="5"/>
        <v/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 t="str">
        <f t="shared" si="4"/>
        <v/>
      </c>
      <c r="K96" s="1" t="str">
        <f t="shared" si="5"/>
        <v/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 t="str">
        <f t="shared" si="4"/>
        <v/>
      </c>
      <c r="K97" s="1" t="str">
        <f t="shared" si="5"/>
        <v/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 t="str">
        <f t="shared" si="4"/>
        <v/>
      </c>
      <c r="K98" s="1" t="str">
        <f t="shared" si="5"/>
        <v/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 t="str">
        <f t="shared" si="4"/>
        <v/>
      </c>
      <c r="K99" s="1" t="str">
        <f t="shared" si="5"/>
        <v/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 t="str">
        <f t="shared" si="4"/>
        <v/>
      </c>
      <c r="K100" s="1" t="str">
        <f t="shared" si="5"/>
        <v/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 t="str">
        <f t="shared" ref="J101:J104" si="6">IF(A101="","",ROUND((C101*20+D101*20+E101*15+F101*15+G101*10+H101*10+I101*10)/5,0))</f>
        <v/>
      </c>
      <c r="K101" s="1" t="str">
        <f t="shared" ref="K101:K104" si="7">IF(A101="","",IF(J101&gt;=80,"A",IF(J101&gt;=60,"B","C")))</f>
        <v/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 t="str">
        <f t="shared" si="6"/>
        <v/>
      </c>
      <c r="K102" s="1" t="str">
        <f t="shared" si="7"/>
        <v/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 t="str">
        <f t="shared" si="6"/>
        <v/>
      </c>
      <c r="K103" s="1" t="str">
        <f t="shared" si="7"/>
        <v/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 t="str">
        <f t="shared" si="6"/>
        <v/>
      </c>
      <c r="K104" s="1" t="str">
        <f t="shared" si="7"/>
        <v/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">
    <mergeCell ref="A1:M1"/>
    <mergeCell ref="A2:M2"/>
  </mergeCells>
  <conditionalFormatting sqref="J5:J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C5:I104" xr:uid="{00000000-0002-0000-0100-000000000000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04"/>
  <sheetViews>
    <sheetView workbookViewId="0">
      <selection sqref="A1:J1"/>
    </sheetView>
  </sheetViews>
  <sheetFormatPr defaultRowHeight="14"/>
  <cols>
    <col min="1" max="2" width="20" customWidth="1"/>
    <col min="4" max="4" width="24.9140625" customWidth="1"/>
    <col min="5" max="5" width="18.08203125" customWidth="1"/>
    <col min="6" max="6" width="11.25" customWidth="1"/>
    <col min="7" max="10" width="24" customWidth="1"/>
  </cols>
  <sheetData>
    <row r="1" spans="1:26" ht="21.4" customHeight="1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32</v>
      </c>
      <c r="B2" s="6"/>
      <c r="C2" s="6"/>
      <c r="D2" s="6"/>
      <c r="E2" s="6"/>
      <c r="F2" s="6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2" t="s">
        <v>33</v>
      </c>
      <c r="B4" s="2" t="s">
        <v>18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29</v>
      </c>
      <c r="J4" s="2" t="s">
        <v>40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">
    <mergeCell ref="A1:J1"/>
    <mergeCell ref="A2:J2"/>
  </mergeCells>
  <dataValidations count="1">
    <dataValidation sqref="F5:F204" xr:uid="{00000000-0002-0000-0200-000000000000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4"/>
  <sheetViews>
    <sheetView workbookViewId="0">
      <selection sqref="A1:L1"/>
    </sheetView>
  </sheetViews>
  <sheetFormatPr defaultRowHeight="14"/>
  <cols>
    <col min="1" max="2" width="20" customWidth="1"/>
    <col min="8" max="12" width="20" customWidth="1"/>
  </cols>
  <sheetData>
    <row r="1" spans="1:26" ht="21.4" customHeight="1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2" t="s">
        <v>18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29</v>
      </c>
      <c r="I4" s="2" t="s">
        <v>49</v>
      </c>
      <c r="J4" s="2" t="s">
        <v>50</v>
      </c>
      <c r="K4" s="2" t="s">
        <v>51</v>
      </c>
      <c r="L4" s="2" t="s">
        <v>52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3"/>
      <c r="J5" s="3"/>
      <c r="K5" s="3" t="str">
        <f t="shared" ref="K5:K68" si="0">IF(A5="","",IFERROR(I5*J5,0))</f>
        <v/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3"/>
      <c r="J6" s="3"/>
      <c r="K6" s="3" t="str">
        <f t="shared" si="0"/>
        <v/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3"/>
      <c r="J7" s="3"/>
      <c r="K7" s="3" t="str">
        <f t="shared" si="0"/>
        <v/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3"/>
      <c r="J8" s="3"/>
      <c r="K8" s="3" t="str">
        <f t="shared" si="0"/>
        <v/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3"/>
      <c r="J9" s="3"/>
      <c r="K9" s="3" t="str">
        <f t="shared" si="0"/>
        <v/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3"/>
      <c r="J10" s="3"/>
      <c r="K10" s="3" t="str">
        <f t="shared" si="0"/>
        <v/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3"/>
      <c r="J11" s="3"/>
      <c r="K11" s="3" t="str">
        <f t="shared" si="0"/>
        <v/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3"/>
      <c r="J12" s="3"/>
      <c r="K12" s="3" t="str">
        <f t="shared" si="0"/>
        <v/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3"/>
      <c r="J13" s="3"/>
      <c r="K13" s="3" t="str">
        <f t="shared" si="0"/>
        <v/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3"/>
      <c r="J14" s="3"/>
      <c r="K14" s="3" t="str">
        <f t="shared" si="0"/>
        <v/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3"/>
      <c r="J15" s="3"/>
      <c r="K15" s="3" t="str">
        <f t="shared" si="0"/>
        <v/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3"/>
      <c r="J16" s="3"/>
      <c r="K16" s="3" t="str">
        <f t="shared" si="0"/>
        <v/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3"/>
      <c r="J17" s="3"/>
      <c r="K17" s="3" t="str">
        <f t="shared" si="0"/>
        <v/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3"/>
      <c r="J18" s="3"/>
      <c r="K18" s="3" t="str">
        <f t="shared" si="0"/>
        <v/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3"/>
      <c r="J19" s="3"/>
      <c r="K19" s="3" t="str">
        <f t="shared" si="0"/>
        <v/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3"/>
      <c r="J20" s="3"/>
      <c r="K20" s="3" t="str">
        <f t="shared" si="0"/>
        <v/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3"/>
      <c r="J21" s="3"/>
      <c r="K21" s="3" t="str">
        <f t="shared" si="0"/>
        <v/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3"/>
      <c r="J22" s="3"/>
      <c r="K22" s="3" t="str">
        <f t="shared" si="0"/>
        <v/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3"/>
      <c r="J23" s="3"/>
      <c r="K23" s="3" t="str">
        <f t="shared" si="0"/>
        <v/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3"/>
      <c r="J24" s="3"/>
      <c r="K24" s="3" t="str">
        <f t="shared" si="0"/>
        <v/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3"/>
      <c r="J25" s="3"/>
      <c r="K25" s="3" t="str">
        <f t="shared" si="0"/>
        <v/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3"/>
      <c r="J26" s="3"/>
      <c r="K26" s="3" t="str">
        <f t="shared" si="0"/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3"/>
      <c r="J27" s="3"/>
      <c r="K27" s="3" t="str">
        <f t="shared" si="0"/>
        <v/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3"/>
      <c r="J28" s="3"/>
      <c r="K28" s="3" t="str">
        <f t="shared" si="0"/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3"/>
      <c r="J29" s="3"/>
      <c r="K29" s="3" t="str">
        <f t="shared" si="0"/>
        <v/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3"/>
      <c r="J30" s="3"/>
      <c r="K30" s="3" t="str">
        <f t="shared" si="0"/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3"/>
      <c r="J31" s="3"/>
      <c r="K31" s="3" t="str">
        <f t="shared" si="0"/>
        <v/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3"/>
      <c r="J32" s="3"/>
      <c r="K32" s="3" t="str">
        <f t="shared" si="0"/>
        <v/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3"/>
      <c r="J33" s="3"/>
      <c r="K33" s="3" t="str">
        <f t="shared" si="0"/>
        <v/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3"/>
      <c r="J34" s="3"/>
      <c r="K34" s="3" t="str">
        <f t="shared" si="0"/>
        <v/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3"/>
      <c r="J35" s="3"/>
      <c r="K35" s="3" t="str">
        <f t="shared" si="0"/>
        <v/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3"/>
      <c r="J36" s="3"/>
      <c r="K36" s="3" t="str">
        <f t="shared" si="0"/>
        <v/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3"/>
      <c r="J37" s="3"/>
      <c r="K37" s="3" t="str">
        <f t="shared" si="0"/>
        <v/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3"/>
      <c r="J38" s="3"/>
      <c r="K38" s="3" t="str">
        <f t="shared" si="0"/>
        <v/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3"/>
      <c r="J39" s="3"/>
      <c r="K39" s="3" t="str">
        <f t="shared" si="0"/>
        <v/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3"/>
      <c r="J40" s="3"/>
      <c r="K40" s="3" t="str">
        <f t="shared" si="0"/>
        <v/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3"/>
      <c r="J41" s="3"/>
      <c r="K41" s="3" t="str">
        <f t="shared" si="0"/>
        <v/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3"/>
      <c r="J42" s="3"/>
      <c r="K42" s="3" t="str">
        <f t="shared" si="0"/>
        <v/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3"/>
      <c r="J43" s="3"/>
      <c r="K43" s="3" t="str">
        <f t="shared" si="0"/>
        <v/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3"/>
      <c r="J44" s="3"/>
      <c r="K44" s="3" t="str">
        <f t="shared" si="0"/>
        <v/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3"/>
      <c r="J45" s="3"/>
      <c r="K45" s="3" t="str">
        <f t="shared" si="0"/>
        <v/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3"/>
      <c r="J46" s="3"/>
      <c r="K46" s="3" t="str">
        <f t="shared" si="0"/>
        <v/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3"/>
      <c r="J47" s="3"/>
      <c r="K47" s="3" t="str">
        <f t="shared" si="0"/>
        <v/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3"/>
      <c r="J48" s="3"/>
      <c r="K48" s="3" t="str">
        <f t="shared" si="0"/>
        <v/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3"/>
      <c r="J49" s="3"/>
      <c r="K49" s="3" t="str">
        <f t="shared" si="0"/>
        <v/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3"/>
      <c r="J50" s="3"/>
      <c r="K50" s="3" t="str">
        <f t="shared" si="0"/>
        <v/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3"/>
      <c r="J51" s="3"/>
      <c r="K51" s="3" t="str">
        <f t="shared" si="0"/>
        <v/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3"/>
      <c r="J52" s="3"/>
      <c r="K52" s="3" t="str">
        <f t="shared" si="0"/>
        <v/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3"/>
      <c r="J53" s="3"/>
      <c r="K53" s="3" t="str">
        <f t="shared" si="0"/>
        <v/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3"/>
      <c r="J54" s="3"/>
      <c r="K54" s="3" t="str">
        <f t="shared" si="0"/>
        <v/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3"/>
      <c r="J55" s="3"/>
      <c r="K55" s="3" t="str">
        <f t="shared" si="0"/>
        <v/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3"/>
      <c r="J56" s="3"/>
      <c r="K56" s="3" t="str">
        <f t="shared" si="0"/>
        <v/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3"/>
      <c r="J57" s="3"/>
      <c r="K57" s="3" t="str">
        <f t="shared" si="0"/>
        <v/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3"/>
      <c r="J58" s="3"/>
      <c r="K58" s="3" t="str">
        <f t="shared" si="0"/>
        <v/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3"/>
      <c r="J59" s="3"/>
      <c r="K59" s="3" t="str">
        <f t="shared" si="0"/>
        <v/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3"/>
      <c r="J60" s="3"/>
      <c r="K60" s="3" t="str">
        <f t="shared" si="0"/>
        <v/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3"/>
      <c r="J61" s="3"/>
      <c r="K61" s="3" t="str">
        <f t="shared" si="0"/>
        <v/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3"/>
      <c r="J62" s="3"/>
      <c r="K62" s="3" t="str">
        <f t="shared" si="0"/>
        <v/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3"/>
      <c r="J63" s="3"/>
      <c r="K63" s="3" t="str">
        <f t="shared" si="0"/>
        <v/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3"/>
      <c r="J64" s="3"/>
      <c r="K64" s="3" t="str">
        <f t="shared" si="0"/>
        <v/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3"/>
      <c r="J65" s="3"/>
      <c r="K65" s="3" t="str">
        <f t="shared" si="0"/>
        <v/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3"/>
      <c r="J66" s="3"/>
      <c r="K66" s="3" t="str">
        <f t="shared" si="0"/>
        <v/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3"/>
      <c r="J67" s="3"/>
      <c r="K67" s="3" t="str">
        <f t="shared" si="0"/>
        <v/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3"/>
      <c r="J68" s="3"/>
      <c r="K68" s="3" t="str">
        <f t="shared" si="0"/>
        <v/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3"/>
      <c r="J69" s="3"/>
      <c r="K69" s="3" t="str">
        <f t="shared" ref="K69:K132" si="1">IF(A69="","",IFERROR(I69*J69,0))</f>
        <v/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3"/>
      <c r="J70" s="3"/>
      <c r="K70" s="3" t="str">
        <f t="shared" si="1"/>
        <v/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3"/>
      <c r="J71" s="3"/>
      <c r="K71" s="3" t="str">
        <f t="shared" si="1"/>
        <v/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3"/>
      <c r="J72" s="3"/>
      <c r="K72" s="3" t="str">
        <f t="shared" si="1"/>
        <v/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3"/>
      <c r="J73" s="3"/>
      <c r="K73" s="3" t="str">
        <f t="shared" si="1"/>
        <v/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3"/>
      <c r="J74" s="3"/>
      <c r="K74" s="3" t="str">
        <f t="shared" si="1"/>
        <v/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3"/>
      <c r="J75" s="3"/>
      <c r="K75" s="3" t="str">
        <f t="shared" si="1"/>
        <v/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3"/>
      <c r="J76" s="3"/>
      <c r="K76" s="3" t="str">
        <f t="shared" si="1"/>
        <v/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3"/>
      <c r="J77" s="3"/>
      <c r="K77" s="3" t="str">
        <f t="shared" si="1"/>
        <v/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3"/>
      <c r="J78" s="3"/>
      <c r="K78" s="3" t="str">
        <f t="shared" si="1"/>
        <v/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3"/>
      <c r="J79" s="3"/>
      <c r="K79" s="3" t="str">
        <f t="shared" si="1"/>
        <v/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3"/>
      <c r="J80" s="3"/>
      <c r="K80" s="3" t="str">
        <f t="shared" si="1"/>
        <v/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3"/>
      <c r="J81" s="3"/>
      <c r="K81" s="3" t="str">
        <f t="shared" si="1"/>
        <v/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3"/>
      <c r="J82" s="3"/>
      <c r="K82" s="3" t="str">
        <f t="shared" si="1"/>
        <v/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3"/>
      <c r="J83" s="3"/>
      <c r="K83" s="3" t="str">
        <f t="shared" si="1"/>
        <v/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3"/>
      <c r="J84" s="3"/>
      <c r="K84" s="3" t="str">
        <f t="shared" si="1"/>
        <v/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3"/>
      <c r="J85" s="3"/>
      <c r="K85" s="3" t="str">
        <f t="shared" si="1"/>
        <v/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3"/>
      <c r="J86" s="3"/>
      <c r="K86" s="3" t="str">
        <f t="shared" si="1"/>
        <v/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3"/>
      <c r="J87" s="3"/>
      <c r="K87" s="3" t="str">
        <f t="shared" si="1"/>
        <v/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3"/>
      <c r="J88" s="3"/>
      <c r="K88" s="3" t="str">
        <f t="shared" si="1"/>
        <v/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3"/>
      <c r="J89" s="3"/>
      <c r="K89" s="3" t="str">
        <f t="shared" si="1"/>
        <v/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3"/>
      <c r="J90" s="3"/>
      <c r="K90" s="3" t="str">
        <f t="shared" si="1"/>
        <v/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3"/>
      <c r="J91" s="3"/>
      <c r="K91" s="3" t="str">
        <f t="shared" si="1"/>
        <v/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3"/>
      <c r="J92" s="3"/>
      <c r="K92" s="3" t="str">
        <f t="shared" si="1"/>
        <v/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3"/>
      <c r="J93" s="3"/>
      <c r="K93" s="3" t="str">
        <f t="shared" si="1"/>
        <v/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3"/>
      <c r="J94" s="3"/>
      <c r="K94" s="3" t="str">
        <f t="shared" si="1"/>
        <v/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3"/>
      <c r="J95" s="3"/>
      <c r="K95" s="3" t="str">
        <f t="shared" si="1"/>
        <v/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3"/>
      <c r="J96" s="3"/>
      <c r="K96" s="3" t="str">
        <f t="shared" si="1"/>
        <v/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3"/>
      <c r="J97" s="3"/>
      <c r="K97" s="3" t="str">
        <f t="shared" si="1"/>
        <v/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3"/>
      <c r="J98" s="3"/>
      <c r="K98" s="3" t="str">
        <f t="shared" si="1"/>
        <v/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3"/>
      <c r="J99" s="3"/>
      <c r="K99" s="3" t="str">
        <f t="shared" si="1"/>
        <v/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3" t="str">
        <f t="shared" si="1"/>
        <v/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3" t="str">
        <f t="shared" si="1"/>
        <v/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3" t="str">
        <f t="shared" si="1"/>
        <v/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3" t="str">
        <f t="shared" si="1"/>
        <v/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 t="str">
        <f t="shared" si="1"/>
        <v/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 t="str">
        <f t="shared" si="1"/>
        <v/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 t="str">
        <f t="shared" si="1"/>
        <v/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 t="str">
        <f t="shared" si="1"/>
        <v/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 t="str">
        <f t="shared" si="1"/>
        <v/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 t="str">
        <f t="shared" si="1"/>
        <v/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 t="str">
        <f t="shared" si="1"/>
        <v/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 t="str">
        <f t="shared" si="1"/>
        <v/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 t="str">
        <f t="shared" si="1"/>
        <v/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 t="str">
        <f t="shared" si="1"/>
        <v/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 t="str">
        <f t="shared" si="1"/>
        <v/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 t="str">
        <f t="shared" si="1"/>
        <v/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 t="str">
        <f t="shared" si="1"/>
        <v/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 t="str">
        <f t="shared" si="1"/>
        <v/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 t="str">
        <f t="shared" si="1"/>
        <v/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 t="str">
        <f t="shared" si="1"/>
        <v/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 t="str">
        <f t="shared" si="1"/>
        <v/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 t="str">
        <f t="shared" si="1"/>
        <v/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 t="str">
        <f t="shared" si="1"/>
        <v/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 t="str">
        <f t="shared" si="1"/>
        <v/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 t="str">
        <f t="shared" si="1"/>
        <v/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 t="str">
        <f t="shared" si="1"/>
        <v/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 t="str">
        <f t="shared" si="1"/>
        <v/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 t="str">
        <f t="shared" si="1"/>
        <v/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 t="str">
        <f t="shared" si="1"/>
        <v/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 t="str">
        <f t="shared" si="1"/>
        <v/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 t="str">
        <f t="shared" si="1"/>
        <v/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 t="str">
        <f t="shared" si="1"/>
        <v/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 t="str">
        <f t="shared" si="1"/>
        <v/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 t="str">
        <f t="shared" ref="K133:K196" si="2">IF(A133="","",IFERROR(I133*J133,0))</f>
        <v/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 t="str">
        <f t="shared" si="2"/>
        <v/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 t="str">
        <f t="shared" si="2"/>
        <v/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 t="str">
        <f t="shared" si="2"/>
        <v/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 t="str">
        <f t="shared" si="2"/>
        <v/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 t="str">
        <f t="shared" si="2"/>
        <v/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 t="str">
        <f t="shared" si="2"/>
        <v/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 t="str">
        <f t="shared" si="2"/>
        <v/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 t="str">
        <f t="shared" si="2"/>
        <v/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 t="str">
        <f t="shared" si="2"/>
        <v/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 t="str">
        <f t="shared" si="2"/>
        <v/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 t="str">
        <f t="shared" si="2"/>
        <v/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 t="str">
        <f t="shared" si="2"/>
        <v/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 t="str">
        <f t="shared" si="2"/>
        <v/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 t="str">
        <f t="shared" si="2"/>
        <v/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 t="str">
        <f t="shared" si="2"/>
        <v/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 t="str">
        <f t="shared" si="2"/>
        <v/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 t="str">
        <f t="shared" si="2"/>
        <v/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 t="str">
        <f t="shared" si="2"/>
        <v/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 t="str">
        <f t="shared" si="2"/>
        <v/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 t="str">
        <f t="shared" si="2"/>
        <v/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 t="str">
        <f t="shared" si="2"/>
        <v/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 t="str">
        <f t="shared" si="2"/>
        <v/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 t="str">
        <f t="shared" si="2"/>
        <v/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3" t="str">
        <f t="shared" si="2"/>
        <v/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3" t="str">
        <f t="shared" si="2"/>
        <v/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3" t="str">
        <f t="shared" si="2"/>
        <v/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3" t="str">
        <f t="shared" si="2"/>
        <v/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3" t="str">
        <f t="shared" si="2"/>
        <v/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3" t="str">
        <f t="shared" si="2"/>
        <v/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3" t="str">
        <f t="shared" si="2"/>
        <v/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3" t="str">
        <f t="shared" si="2"/>
        <v/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3" t="str">
        <f t="shared" si="2"/>
        <v/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3" t="str">
        <f t="shared" si="2"/>
        <v/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3" t="str">
        <f t="shared" si="2"/>
        <v/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3" t="str">
        <f t="shared" si="2"/>
        <v/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3" t="str">
        <f t="shared" si="2"/>
        <v/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3" t="str">
        <f t="shared" si="2"/>
        <v/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3" t="str">
        <f t="shared" si="2"/>
        <v/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3" t="str">
        <f t="shared" si="2"/>
        <v/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3" t="str">
        <f t="shared" si="2"/>
        <v/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3" t="str">
        <f t="shared" si="2"/>
        <v/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3" t="str">
        <f t="shared" si="2"/>
        <v/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3" t="str">
        <f t="shared" si="2"/>
        <v/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3" t="str">
        <f t="shared" si="2"/>
        <v/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3" t="str">
        <f t="shared" si="2"/>
        <v/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3" t="str">
        <f t="shared" si="2"/>
        <v/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3" t="str">
        <f t="shared" si="2"/>
        <v/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3" t="str">
        <f t="shared" si="2"/>
        <v/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3" t="str">
        <f t="shared" si="2"/>
        <v/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3" t="str">
        <f t="shared" si="2"/>
        <v/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3" t="str">
        <f t="shared" si="2"/>
        <v/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3" t="str">
        <f t="shared" si="2"/>
        <v/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3" t="str">
        <f t="shared" si="2"/>
        <v/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3" t="str">
        <f t="shared" si="2"/>
        <v/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3" t="str">
        <f t="shared" si="2"/>
        <v/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3" t="str">
        <f t="shared" si="2"/>
        <v/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3" t="str">
        <f t="shared" si="2"/>
        <v/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3" t="str">
        <f t="shared" si="2"/>
        <v/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3" t="str">
        <f t="shared" si="2"/>
        <v/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3" t="str">
        <f t="shared" si="2"/>
        <v/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3" t="str">
        <f t="shared" si="2"/>
        <v/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3" t="str">
        <f t="shared" si="2"/>
        <v/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3" t="str">
        <f t="shared" si="2"/>
        <v/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3" t="str">
        <f t="shared" ref="K197:K260" si="3">IF(A197="","",IFERROR(I197*J197,0))</f>
        <v/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3" t="str">
        <f t="shared" si="3"/>
        <v/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3" t="str">
        <f t="shared" si="3"/>
        <v/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3" t="str">
        <f t="shared" si="3"/>
        <v/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3" t="str">
        <f t="shared" si="3"/>
        <v/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3" t="str">
        <f t="shared" si="3"/>
        <v/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3" t="str">
        <f t="shared" si="3"/>
        <v/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3" t="str">
        <f t="shared" si="3"/>
        <v/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3" t="str">
        <f t="shared" si="3"/>
        <v/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3" t="str">
        <f t="shared" si="3"/>
        <v/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3" t="str">
        <f t="shared" si="3"/>
        <v/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3" t="str">
        <f t="shared" si="3"/>
        <v/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3" t="str">
        <f t="shared" si="3"/>
        <v/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3" t="str">
        <f t="shared" si="3"/>
        <v/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3" t="str">
        <f t="shared" si="3"/>
        <v/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3" t="str">
        <f t="shared" si="3"/>
        <v/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3" t="str">
        <f t="shared" si="3"/>
        <v/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3" t="str">
        <f t="shared" si="3"/>
        <v/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3" t="str">
        <f t="shared" si="3"/>
        <v/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3" t="str">
        <f t="shared" si="3"/>
        <v/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3" t="str">
        <f t="shared" si="3"/>
        <v/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3" t="str">
        <f t="shared" si="3"/>
        <v/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3" t="str">
        <f t="shared" si="3"/>
        <v/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3" t="str">
        <f t="shared" si="3"/>
        <v/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3" t="str">
        <f t="shared" si="3"/>
        <v/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3" t="str">
        <f t="shared" si="3"/>
        <v/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3" t="str">
        <f t="shared" si="3"/>
        <v/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3" t="str">
        <f t="shared" si="3"/>
        <v/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3" t="str">
        <f t="shared" si="3"/>
        <v/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3" t="str">
        <f t="shared" si="3"/>
        <v/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3" t="str">
        <f t="shared" si="3"/>
        <v/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3" t="str">
        <f t="shared" si="3"/>
        <v/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3" t="str">
        <f t="shared" si="3"/>
        <v/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3" t="str">
        <f t="shared" si="3"/>
        <v/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3" t="str">
        <f t="shared" si="3"/>
        <v/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3" t="str">
        <f t="shared" si="3"/>
        <v/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3" t="str">
        <f t="shared" si="3"/>
        <v/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3" t="str">
        <f t="shared" si="3"/>
        <v/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3"/>
      <c r="J235" s="3"/>
      <c r="K235" s="3" t="str">
        <f t="shared" si="3"/>
        <v/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3"/>
      <c r="J236" s="3"/>
      <c r="K236" s="3" t="str">
        <f t="shared" si="3"/>
        <v/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3"/>
      <c r="J237" s="3"/>
      <c r="K237" s="3" t="str">
        <f t="shared" si="3"/>
        <v/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3"/>
      <c r="J238" s="3"/>
      <c r="K238" s="3" t="str">
        <f t="shared" si="3"/>
        <v/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3"/>
      <c r="J239" s="3"/>
      <c r="K239" s="3" t="str">
        <f t="shared" si="3"/>
        <v/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3"/>
      <c r="J240" s="3"/>
      <c r="K240" s="3" t="str">
        <f t="shared" si="3"/>
        <v/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3"/>
      <c r="J241" s="3"/>
      <c r="K241" s="3" t="str">
        <f t="shared" si="3"/>
        <v/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3"/>
      <c r="J242" s="3"/>
      <c r="K242" s="3" t="str">
        <f t="shared" si="3"/>
        <v/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3"/>
      <c r="J243" s="3"/>
      <c r="K243" s="3" t="str">
        <f t="shared" si="3"/>
        <v/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3"/>
      <c r="J244" s="3"/>
      <c r="K244" s="3" t="str">
        <f t="shared" si="3"/>
        <v/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3"/>
      <c r="J245" s="3"/>
      <c r="K245" s="3" t="str">
        <f t="shared" si="3"/>
        <v/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3"/>
      <c r="J246" s="3"/>
      <c r="K246" s="3" t="str">
        <f t="shared" si="3"/>
        <v/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3"/>
      <c r="J247" s="3"/>
      <c r="K247" s="3" t="str">
        <f t="shared" si="3"/>
        <v/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3"/>
      <c r="J248" s="3"/>
      <c r="K248" s="3" t="str">
        <f t="shared" si="3"/>
        <v/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3"/>
      <c r="J249" s="3"/>
      <c r="K249" s="3" t="str">
        <f t="shared" si="3"/>
        <v/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3"/>
      <c r="J250" s="3"/>
      <c r="K250" s="3" t="str">
        <f t="shared" si="3"/>
        <v/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3"/>
      <c r="J251" s="3"/>
      <c r="K251" s="3" t="str">
        <f t="shared" si="3"/>
        <v/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3"/>
      <c r="J252" s="3"/>
      <c r="K252" s="3" t="str">
        <f t="shared" si="3"/>
        <v/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3"/>
      <c r="J253" s="3"/>
      <c r="K253" s="3" t="str">
        <f t="shared" si="3"/>
        <v/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3"/>
      <c r="J254" s="3"/>
      <c r="K254" s="3" t="str">
        <f t="shared" si="3"/>
        <v/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3"/>
      <c r="J255" s="3"/>
      <c r="K255" s="3" t="str">
        <f t="shared" si="3"/>
        <v/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3"/>
      <c r="J256" s="3"/>
      <c r="K256" s="3" t="str">
        <f t="shared" si="3"/>
        <v/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3"/>
      <c r="J257" s="3"/>
      <c r="K257" s="3" t="str">
        <f t="shared" si="3"/>
        <v/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3"/>
      <c r="J258" s="3"/>
      <c r="K258" s="3" t="str">
        <f t="shared" si="3"/>
        <v/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3"/>
      <c r="J259" s="3"/>
      <c r="K259" s="3" t="str">
        <f t="shared" si="3"/>
        <v/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3"/>
      <c r="J260" s="3"/>
      <c r="K260" s="3" t="str">
        <f t="shared" si="3"/>
        <v/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3"/>
      <c r="J261" s="3"/>
      <c r="K261" s="3" t="str">
        <f t="shared" ref="K261:K304" si="4">IF(A261="","",IFERROR(I261*J261,0))</f>
        <v/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3"/>
      <c r="J262" s="3"/>
      <c r="K262" s="3" t="str">
        <f t="shared" si="4"/>
        <v/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3"/>
      <c r="J263" s="3"/>
      <c r="K263" s="3" t="str">
        <f t="shared" si="4"/>
        <v/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3"/>
      <c r="J264" s="3"/>
      <c r="K264" s="3" t="str">
        <f t="shared" si="4"/>
        <v/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3"/>
      <c r="J265" s="3"/>
      <c r="K265" s="3" t="str">
        <f t="shared" si="4"/>
        <v/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3"/>
      <c r="J266" s="3"/>
      <c r="K266" s="3" t="str">
        <f t="shared" si="4"/>
        <v/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3"/>
      <c r="J267" s="3"/>
      <c r="K267" s="3" t="str">
        <f t="shared" si="4"/>
        <v/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3"/>
      <c r="J268" s="3"/>
      <c r="K268" s="3" t="str">
        <f t="shared" si="4"/>
        <v/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3"/>
      <c r="J269" s="3"/>
      <c r="K269" s="3" t="str">
        <f t="shared" si="4"/>
        <v/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3"/>
      <c r="J270" s="3"/>
      <c r="K270" s="3" t="str">
        <f t="shared" si="4"/>
        <v/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3"/>
      <c r="J271" s="3"/>
      <c r="K271" s="3" t="str">
        <f t="shared" si="4"/>
        <v/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3"/>
      <c r="J272" s="3"/>
      <c r="K272" s="3" t="str">
        <f t="shared" si="4"/>
        <v/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3"/>
      <c r="J273" s="3"/>
      <c r="K273" s="3" t="str">
        <f t="shared" si="4"/>
        <v/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3"/>
      <c r="J274" s="3"/>
      <c r="K274" s="3" t="str">
        <f t="shared" si="4"/>
        <v/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3"/>
      <c r="J275" s="3"/>
      <c r="K275" s="3" t="str">
        <f t="shared" si="4"/>
        <v/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3"/>
      <c r="J276" s="3"/>
      <c r="K276" s="3" t="str">
        <f t="shared" si="4"/>
        <v/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3"/>
      <c r="J277" s="3"/>
      <c r="K277" s="3" t="str">
        <f t="shared" si="4"/>
        <v/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3"/>
      <c r="J278" s="3"/>
      <c r="K278" s="3" t="str">
        <f t="shared" si="4"/>
        <v/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3"/>
      <c r="J279" s="3"/>
      <c r="K279" s="3" t="str">
        <f t="shared" si="4"/>
        <v/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3"/>
      <c r="J280" s="3"/>
      <c r="K280" s="3" t="str">
        <f t="shared" si="4"/>
        <v/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3"/>
      <c r="J281" s="3"/>
      <c r="K281" s="3" t="str">
        <f t="shared" si="4"/>
        <v/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3"/>
      <c r="J282" s="3"/>
      <c r="K282" s="3" t="str">
        <f t="shared" si="4"/>
        <v/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3"/>
      <c r="J283" s="3"/>
      <c r="K283" s="3" t="str">
        <f t="shared" si="4"/>
        <v/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3"/>
      <c r="J284" s="3"/>
      <c r="K284" s="3" t="str">
        <f t="shared" si="4"/>
        <v/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3"/>
      <c r="J285" s="3"/>
      <c r="K285" s="3" t="str">
        <f t="shared" si="4"/>
        <v/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3"/>
      <c r="J286" s="3"/>
      <c r="K286" s="3" t="str">
        <f t="shared" si="4"/>
        <v/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3"/>
      <c r="J287" s="3"/>
      <c r="K287" s="3" t="str">
        <f t="shared" si="4"/>
        <v/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3"/>
      <c r="J288" s="3"/>
      <c r="K288" s="3" t="str">
        <f t="shared" si="4"/>
        <v/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3"/>
      <c r="J289" s="3"/>
      <c r="K289" s="3" t="str">
        <f t="shared" si="4"/>
        <v/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3"/>
      <c r="J290" s="3"/>
      <c r="K290" s="3" t="str">
        <f t="shared" si="4"/>
        <v/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3"/>
      <c r="J291" s="3"/>
      <c r="K291" s="3" t="str">
        <f t="shared" si="4"/>
        <v/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3"/>
      <c r="J292" s="3"/>
      <c r="K292" s="3" t="str">
        <f t="shared" si="4"/>
        <v/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3"/>
      <c r="J293" s="3"/>
      <c r="K293" s="3" t="str">
        <f t="shared" si="4"/>
        <v/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3"/>
      <c r="J294" s="3"/>
      <c r="K294" s="3" t="str">
        <f t="shared" si="4"/>
        <v/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3"/>
      <c r="J295" s="3"/>
      <c r="K295" s="3" t="str">
        <f t="shared" si="4"/>
        <v/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3"/>
      <c r="J296" s="3"/>
      <c r="K296" s="3" t="str">
        <f t="shared" si="4"/>
        <v/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3"/>
      <c r="J297" s="3"/>
      <c r="K297" s="3" t="str">
        <f t="shared" si="4"/>
        <v/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3"/>
      <c r="J298" s="3"/>
      <c r="K298" s="3" t="str">
        <f t="shared" si="4"/>
        <v/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3"/>
      <c r="J299" s="3"/>
      <c r="K299" s="3" t="str">
        <f t="shared" si="4"/>
        <v/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3"/>
      <c r="J300" s="3"/>
      <c r="K300" s="3" t="str">
        <f t="shared" si="4"/>
        <v/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3"/>
      <c r="J301" s="3"/>
      <c r="K301" s="3" t="str">
        <f t="shared" si="4"/>
        <v/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3"/>
      <c r="J302" s="3"/>
      <c r="K302" s="3" t="str">
        <f t="shared" si="4"/>
        <v/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3"/>
      <c r="J303" s="3"/>
      <c r="K303" s="3" t="str">
        <f t="shared" si="4"/>
        <v/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3"/>
      <c r="J304" s="3"/>
      <c r="K304" s="3" t="str">
        <f t="shared" si="4"/>
        <v/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">
    <mergeCell ref="A1:L1"/>
    <mergeCell ref="A2:L2"/>
  </mergeCells>
  <dataValidations count="1">
    <dataValidation type="list" sqref="D5:D304" xr:uid="{00000000-0002-0000-0300-000000000000}">
      <formula1>"FIND,PRIORITIZE,ENGAGE,DIAGNOSE,CONTROL,DELIVER,EXPAND,WON,LOST"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04"/>
  <sheetViews>
    <sheetView tabSelected="1" workbookViewId="0">
      <selection activeCell="C7" sqref="C7"/>
    </sheetView>
  </sheetViews>
  <sheetFormatPr defaultRowHeight="14"/>
  <cols>
    <col min="1" max="2" width="20" customWidth="1"/>
    <col min="6" max="6" width="10.25" customWidth="1"/>
    <col min="9" max="9" width="12.33203125" customWidth="1"/>
    <col min="10" max="10" width="11" customWidth="1"/>
    <col min="12" max="12" width="9.9140625" customWidth="1"/>
  </cols>
  <sheetData>
    <row r="1" spans="1:26" ht="21.4" customHeight="1">
      <c r="A1" s="5" t="s">
        <v>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54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5" customHeight="1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70</v>
      </c>
      <c r="Q4" s="2" t="s">
        <v>29</v>
      </c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 t="str">
        <f t="shared" ref="M5:M36" si="0">IF(A5="","",SUM(C5:L5))</f>
        <v/>
      </c>
      <c r="N5" s="1" t="str">
        <f t="shared" ref="N5:N36" si="1">IF(A5="","",IF(M5&gt;=40,"GREEN",IF(M5&gt;=30,"YELLOW","RED")))</f>
        <v/>
      </c>
      <c r="O5" s="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 t="str">
        <f t="shared" si="0"/>
        <v/>
      </c>
      <c r="N6" s="1" t="str">
        <f t="shared" si="1"/>
        <v/>
      </c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 t="str">
        <f t="shared" si="0"/>
        <v/>
      </c>
      <c r="N7" s="1" t="str">
        <f t="shared" si="1"/>
        <v/>
      </c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 t="str">
        <f t="shared" si="0"/>
        <v/>
      </c>
      <c r="N8" s="1" t="str">
        <f t="shared" si="1"/>
        <v/>
      </c>
      <c r="O8" s="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 t="str">
        <f t="shared" si="0"/>
        <v/>
      </c>
      <c r="N9" s="1" t="str">
        <f t="shared" si="1"/>
        <v/>
      </c>
      <c r="O9" s="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 t="str">
        <f t="shared" si="0"/>
        <v/>
      </c>
      <c r="N10" s="1" t="str">
        <f t="shared" si="1"/>
        <v/>
      </c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 t="str">
        <f t="shared" si="0"/>
        <v/>
      </c>
      <c r="N11" s="1" t="str">
        <f t="shared" si="1"/>
        <v/>
      </c>
      <c r="O11" s="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 t="str">
        <f t="shared" si="0"/>
        <v/>
      </c>
      <c r="N12" s="1" t="str">
        <f t="shared" si="1"/>
        <v/>
      </c>
      <c r="O12" s="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 t="str">
        <f t="shared" si="0"/>
        <v/>
      </c>
      <c r="N13" s="1" t="str">
        <f t="shared" si="1"/>
        <v/>
      </c>
      <c r="O13" s="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 t="str">
        <f t="shared" si="0"/>
        <v/>
      </c>
      <c r="N14" s="1" t="str">
        <f t="shared" si="1"/>
        <v/>
      </c>
      <c r="O14" s="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 t="str">
        <f t="shared" si="0"/>
        <v/>
      </c>
      <c r="N15" s="1" t="str">
        <f t="shared" si="1"/>
        <v/>
      </c>
      <c r="O15" s="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 t="str">
        <f t="shared" si="0"/>
        <v/>
      </c>
      <c r="N16" s="1" t="str">
        <f t="shared" si="1"/>
        <v/>
      </c>
      <c r="O16" s="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 t="str">
        <f t="shared" si="0"/>
        <v/>
      </c>
      <c r="N17" s="1" t="str">
        <f t="shared" si="1"/>
        <v/>
      </c>
      <c r="O17" s="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 t="str">
        <f t="shared" si="0"/>
        <v/>
      </c>
      <c r="N18" s="1" t="str">
        <f t="shared" si="1"/>
        <v/>
      </c>
      <c r="O18" s="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 t="str">
        <f t="shared" si="0"/>
        <v/>
      </c>
      <c r="N19" s="1" t="str">
        <f t="shared" si="1"/>
        <v/>
      </c>
      <c r="O19" s="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 t="str">
        <f t="shared" si="0"/>
        <v/>
      </c>
      <c r="N20" s="1" t="str">
        <f t="shared" si="1"/>
        <v/>
      </c>
      <c r="O20" s="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 t="str">
        <f t="shared" si="0"/>
        <v/>
      </c>
      <c r="N21" s="1" t="str">
        <f t="shared" si="1"/>
        <v/>
      </c>
      <c r="O21" s="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 t="str">
        <f t="shared" si="0"/>
        <v/>
      </c>
      <c r="N22" s="1" t="str">
        <f t="shared" si="1"/>
        <v/>
      </c>
      <c r="O22" s="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 t="str">
        <f t="shared" si="0"/>
        <v/>
      </c>
      <c r="N23" s="1" t="str">
        <f t="shared" si="1"/>
        <v/>
      </c>
      <c r="O23" s="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 t="str">
        <f t="shared" si="0"/>
        <v/>
      </c>
      <c r="N24" s="1" t="str">
        <f t="shared" si="1"/>
        <v/>
      </c>
      <c r="O24" s="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 t="str">
        <f t="shared" si="0"/>
        <v/>
      </c>
      <c r="N25" s="1" t="str">
        <f t="shared" si="1"/>
        <v/>
      </c>
      <c r="O25" s="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 t="str">
        <f t="shared" si="0"/>
        <v/>
      </c>
      <c r="N26" s="1" t="str">
        <f t="shared" si="1"/>
        <v/>
      </c>
      <c r="O26" s="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 t="str">
        <f t="shared" si="0"/>
        <v/>
      </c>
      <c r="N27" s="1" t="str">
        <f t="shared" si="1"/>
        <v/>
      </c>
      <c r="O27" s="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 t="str">
        <f t="shared" si="0"/>
        <v/>
      </c>
      <c r="N28" s="1" t="str">
        <f t="shared" si="1"/>
        <v/>
      </c>
      <c r="O28" s="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 t="str">
        <f t="shared" si="0"/>
        <v/>
      </c>
      <c r="N29" s="1" t="str">
        <f t="shared" si="1"/>
        <v/>
      </c>
      <c r="O29" s="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tr">
        <f t="shared" si="0"/>
        <v/>
      </c>
      <c r="N30" s="1" t="str">
        <f t="shared" si="1"/>
        <v/>
      </c>
      <c r="O30" s="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 t="str">
        <f t="shared" si="0"/>
        <v/>
      </c>
      <c r="N31" s="1" t="str">
        <f t="shared" si="1"/>
        <v/>
      </c>
      <c r="O31" s="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 t="str">
        <f t="shared" si="0"/>
        <v/>
      </c>
      <c r="N32" s="1" t="str">
        <f t="shared" si="1"/>
        <v/>
      </c>
      <c r="O32" s="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 t="str">
        <f t="shared" si="0"/>
        <v/>
      </c>
      <c r="N33" s="1" t="str">
        <f t="shared" si="1"/>
        <v/>
      </c>
      <c r="O33" s="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 t="str">
        <f t="shared" si="0"/>
        <v/>
      </c>
      <c r="N34" s="1" t="str">
        <f t="shared" si="1"/>
        <v/>
      </c>
      <c r="O34" s="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str">
        <f t="shared" si="0"/>
        <v/>
      </c>
      <c r="N35" s="1" t="str">
        <f t="shared" si="1"/>
        <v/>
      </c>
      <c r="O35" s="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str">
        <f t="shared" si="0"/>
        <v/>
      </c>
      <c r="N36" s="1" t="str">
        <f t="shared" si="1"/>
        <v/>
      </c>
      <c r="O36" s="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str">
        <f t="shared" ref="M37:M68" si="2">IF(A37="","",SUM(C37:L37))</f>
        <v/>
      </c>
      <c r="N37" s="1" t="str">
        <f t="shared" ref="N37:N68" si="3">IF(A37="","",IF(M37&gt;=40,"GREEN",IF(M37&gt;=30,"YELLOW","RED")))</f>
        <v/>
      </c>
      <c r="O37" s="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str">
        <f t="shared" si="2"/>
        <v/>
      </c>
      <c r="N38" s="1" t="str">
        <f t="shared" si="3"/>
        <v/>
      </c>
      <c r="O38" s="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str">
        <f t="shared" si="2"/>
        <v/>
      </c>
      <c r="N39" s="1" t="str">
        <f t="shared" si="3"/>
        <v/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tr">
        <f t="shared" si="2"/>
        <v/>
      </c>
      <c r="N40" s="1" t="str">
        <f t="shared" si="3"/>
        <v/>
      </c>
      <c r="O40" s="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tr">
        <f t="shared" si="2"/>
        <v/>
      </c>
      <c r="N41" s="1" t="str">
        <f t="shared" si="3"/>
        <v/>
      </c>
      <c r="O41" s="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 t="str">
        <f t="shared" si="2"/>
        <v/>
      </c>
      <c r="N42" s="1" t="str">
        <f t="shared" si="3"/>
        <v/>
      </c>
      <c r="O42" s="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 t="str">
        <f t="shared" si="2"/>
        <v/>
      </c>
      <c r="N43" s="1" t="str">
        <f t="shared" si="3"/>
        <v/>
      </c>
      <c r="O43" s="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tr">
        <f t="shared" si="2"/>
        <v/>
      </c>
      <c r="N44" s="1" t="str">
        <f t="shared" si="3"/>
        <v/>
      </c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tr">
        <f t="shared" si="2"/>
        <v/>
      </c>
      <c r="N45" s="1" t="str">
        <f t="shared" si="3"/>
        <v/>
      </c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tr">
        <f t="shared" si="2"/>
        <v/>
      </c>
      <c r="N46" s="1" t="str">
        <f t="shared" si="3"/>
        <v/>
      </c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tr">
        <f t="shared" si="2"/>
        <v/>
      </c>
      <c r="N47" s="1" t="str">
        <f t="shared" si="3"/>
        <v/>
      </c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tr">
        <f t="shared" si="2"/>
        <v/>
      </c>
      <c r="N48" s="1" t="str">
        <f t="shared" si="3"/>
        <v/>
      </c>
      <c r="O48" s="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tr">
        <f t="shared" si="2"/>
        <v/>
      </c>
      <c r="N49" s="1" t="str">
        <f t="shared" si="3"/>
        <v/>
      </c>
      <c r="O49" s="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tr">
        <f t="shared" si="2"/>
        <v/>
      </c>
      <c r="N50" s="1" t="str">
        <f t="shared" si="3"/>
        <v/>
      </c>
      <c r="O50" s="3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tr">
        <f t="shared" si="2"/>
        <v/>
      </c>
      <c r="N51" s="1" t="str">
        <f t="shared" si="3"/>
        <v/>
      </c>
      <c r="O51" s="3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tr">
        <f t="shared" si="2"/>
        <v/>
      </c>
      <c r="N52" s="1" t="str">
        <f t="shared" si="3"/>
        <v/>
      </c>
      <c r="O52" s="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tr">
        <f t="shared" si="2"/>
        <v/>
      </c>
      <c r="N53" s="1" t="str">
        <f t="shared" si="3"/>
        <v/>
      </c>
      <c r="O53" s="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tr">
        <f t="shared" si="2"/>
        <v/>
      </c>
      <c r="N54" s="1" t="str">
        <f t="shared" si="3"/>
        <v/>
      </c>
      <c r="O54" s="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tr">
        <f t="shared" si="2"/>
        <v/>
      </c>
      <c r="N55" s="1" t="str">
        <f t="shared" si="3"/>
        <v/>
      </c>
      <c r="O55" s="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tr">
        <f t="shared" si="2"/>
        <v/>
      </c>
      <c r="N56" s="1" t="str">
        <f t="shared" si="3"/>
        <v/>
      </c>
      <c r="O56" s="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tr">
        <f t="shared" si="2"/>
        <v/>
      </c>
      <c r="N57" s="1" t="str">
        <f t="shared" si="3"/>
        <v/>
      </c>
      <c r="O57" s="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tr">
        <f t="shared" si="2"/>
        <v/>
      </c>
      <c r="N58" s="1" t="str">
        <f t="shared" si="3"/>
        <v/>
      </c>
      <c r="O58" s="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tr">
        <f t="shared" si="2"/>
        <v/>
      </c>
      <c r="N59" s="1" t="str">
        <f t="shared" si="3"/>
        <v/>
      </c>
      <c r="O59" s="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tr">
        <f t="shared" si="2"/>
        <v/>
      </c>
      <c r="N60" s="1" t="str">
        <f t="shared" si="3"/>
        <v/>
      </c>
      <c r="O60" s="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tr">
        <f t="shared" si="2"/>
        <v/>
      </c>
      <c r="N61" s="1" t="str">
        <f t="shared" si="3"/>
        <v/>
      </c>
      <c r="O61" s="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tr">
        <f t="shared" si="2"/>
        <v/>
      </c>
      <c r="N62" s="1" t="str">
        <f t="shared" si="3"/>
        <v/>
      </c>
      <c r="O62" s="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tr">
        <f t="shared" si="2"/>
        <v/>
      </c>
      <c r="N63" s="1" t="str">
        <f t="shared" si="3"/>
        <v/>
      </c>
      <c r="O63" s="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tr">
        <f t="shared" si="2"/>
        <v/>
      </c>
      <c r="N64" s="1" t="str">
        <f t="shared" si="3"/>
        <v/>
      </c>
      <c r="O64" s="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tr">
        <f t="shared" si="2"/>
        <v/>
      </c>
      <c r="N65" s="1" t="str">
        <f t="shared" si="3"/>
        <v/>
      </c>
      <c r="O65" s="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tr">
        <f t="shared" si="2"/>
        <v/>
      </c>
      <c r="N66" s="1" t="str">
        <f t="shared" si="3"/>
        <v/>
      </c>
      <c r="O66" s="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tr">
        <f t="shared" si="2"/>
        <v/>
      </c>
      <c r="N67" s="1" t="str">
        <f t="shared" si="3"/>
        <v/>
      </c>
      <c r="O67" s="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tr">
        <f t="shared" si="2"/>
        <v/>
      </c>
      <c r="N68" s="1" t="str">
        <f t="shared" si="3"/>
        <v/>
      </c>
      <c r="O68" s="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tr">
        <f t="shared" ref="M69:M100" si="4">IF(A69="","",SUM(C69:L69))</f>
        <v/>
      </c>
      <c r="N69" s="1" t="str">
        <f t="shared" ref="N69:N100" si="5">IF(A69="","",IF(M69&gt;=40,"GREEN",IF(M69&gt;=30,"YELLOW","RED")))</f>
        <v/>
      </c>
      <c r="O69" s="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tr">
        <f t="shared" si="4"/>
        <v/>
      </c>
      <c r="N70" s="1" t="str">
        <f t="shared" si="5"/>
        <v/>
      </c>
      <c r="O70" s="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tr">
        <f t="shared" si="4"/>
        <v/>
      </c>
      <c r="N71" s="1" t="str">
        <f t="shared" si="5"/>
        <v/>
      </c>
      <c r="O71" s="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tr">
        <f t="shared" si="4"/>
        <v/>
      </c>
      <c r="N72" s="1" t="str">
        <f t="shared" si="5"/>
        <v/>
      </c>
      <c r="O72" s="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tr">
        <f t="shared" si="4"/>
        <v/>
      </c>
      <c r="N73" s="1" t="str">
        <f t="shared" si="5"/>
        <v/>
      </c>
      <c r="O73" s="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tr">
        <f t="shared" si="4"/>
        <v/>
      </c>
      <c r="N74" s="1" t="str">
        <f t="shared" si="5"/>
        <v/>
      </c>
      <c r="O74" s="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tr">
        <f t="shared" si="4"/>
        <v/>
      </c>
      <c r="N75" s="1" t="str">
        <f t="shared" si="5"/>
        <v/>
      </c>
      <c r="O75" s="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tr">
        <f t="shared" si="4"/>
        <v/>
      </c>
      <c r="N76" s="1" t="str">
        <f t="shared" si="5"/>
        <v/>
      </c>
      <c r="O76" s="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tr">
        <f t="shared" si="4"/>
        <v/>
      </c>
      <c r="N77" s="1" t="str">
        <f t="shared" si="5"/>
        <v/>
      </c>
      <c r="O77" s="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tr">
        <f t="shared" si="4"/>
        <v/>
      </c>
      <c r="N78" s="1" t="str">
        <f t="shared" si="5"/>
        <v/>
      </c>
      <c r="O78" s="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tr">
        <f t="shared" si="4"/>
        <v/>
      </c>
      <c r="N79" s="1" t="str">
        <f t="shared" si="5"/>
        <v/>
      </c>
      <c r="O79" s="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tr">
        <f t="shared" si="4"/>
        <v/>
      </c>
      <c r="N80" s="1" t="str">
        <f t="shared" si="5"/>
        <v/>
      </c>
      <c r="O80" s="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tr">
        <f t="shared" si="4"/>
        <v/>
      </c>
      <c r="N81" s="1" t="str">
        <f t="shared" si="5"/>
        <v/>
      </c>
      <c r="O81" s="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tr">
        <f t="shared" si="4"/>
        <v/>
      </c>
      <c r="N82" s="1" t="str">
        <f t="shared" si="5"/>
        <v/>
      </c>
      <c r="O82" s="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tr">
        <f t="shared" si="4"/>
        <v/>
      </c>
      <c r="N83" s="1" t="str">
        <f t="shared" si="5"/>
        <v/>
      </c>
      <c r="O83" s="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tr">
        <f t="shared" si="4"/>
        <v/>
      </c>
      <c r="N84" s="1" t="str">
        <f t="shared" si="5"/>
        <v/>
      </c>
      <c r="O84" s="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tr">
        <f t="shared" si="4"/>
        <v/>
      </c>
      <c r="N85" s="1" t="str">
        <f t="shared" si="5"/>
        <v/>
      </c>
      <c r="O85" s="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tr">
        <f t="shared" si="4"/>
        <v/>
      </c>
      <c r="N86" s="1" t="str">
        <f t="shared" si="5"/>
        <v/>
      </c>
      <c r="O86" s="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tr">
        <f t="shared" si="4"/>
        <v/>
      </c>
      <c r="N87" s="1" t="str">
        <f t="shared" si="5"/>
        <v/>
      </c>
      <c r="O87" s="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tr">
        <f t="shared" si="4"/>
        <v/>
      </c>
      <c r="N88" s="1" t="str">
        <f t="shared" si="5"/>
        <v/>
      </c>
      <c r="O88" s="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tr">
        <f t="shared" si="4"/>
        <v/>
      </c>
      <c r="N89" s="1" t="str">
        <f t="shared" si="5"/>
        <v/>
      </c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tr">
        <f t="shared" si="4"/>
        <v/>
      </c>
      <c r="N90" s="1" t="str">
        <f t="shared" si="5"/>
        <v/>
      </c>
      <c r="O90" s="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tr">
        <f t="shared" si="4"/>
        <v/>
      </c>
      <c r="N91" s="1" t="str">
        <f t="shared" si="5"/>
        <v/>
      </c>
      <c r="O91" s="3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tr">
        <f t="shared" si="4"/>
        <v/>
      </c>
      <c r="N92" s="1" t="str">
        <f t="shared" si="5"/>
        <v/>
      </c>
      <c r="O92" s="3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tr">
        <f t="shared" si="4"/>
        <v/>
      </c>
      <c r="N93" s="1" t="str">
        <f t="shared" si="5"/>
        <v/>
      </c>
      <c r="O93" s="3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tr">
        <f t="shared" si="4"/>
        <v/>
      </c>
      <c r="N94" s="1" t="str">
        <f t="shared" si="5"/>
        <v/>
      </c>
      <c r="O94" s="3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tr">
        <f t="shared" si="4"/>
        <v/>
      </c>
      <c r="N95" s="1" t="str">
        <f t="shared" si="5"/>
        <v/>
      </c>
      <c r="O95" s="3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tr">
        <f t="shared" si="4"/>
        <v/>
      </c>
      <c r="N96" s="1" t="str">
        <f t="shared" si="5"/>
        <v/>
      </c>
      <c r="O96" s="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tr">
        <f t="shared" si="4"/>
        <v/>
      </c>
      <c r="N97" s="1" t="str">
        <f t="shared" si="5"/>
        <v/>
      </c>
      <c r="O97" s="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tr">
        <f t="shared" si="4"/>
        <v/>
      </c>
      <c r="N98" s="1" t="str">
        <f t="shared" si="5"/>
        <v/>
      </c>
      <c r="O98" s="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tr">
        <f t="shared" si="4"/>
        <v/>
      </c>
      <c r="N99" s="1" t="str">
        <f t="shared" si="5"/>
        <v/>
      </c>
      <c r="O99" s="3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tr">
        <f t="shared" si="4"/>
        <v/>
      </c>
      <c r="N100" s="1" t="str">
        <f t="shared" si="5"/>
        <v/>
      </c>
      <c r="O100" s="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tr">
        <f t="shared" ref="M101:M132" si="6">IF(A101="","",SUM(C101:L101))</f>
        <v/>
      </c>
      <c r="N101" s="1" t="str">
        <f t="shared" ref="N101:N132" si="7">IF(A101="","",IF(M101&gt;=40,"GREEN",IF(M101&gt;=30,"YELLOW","RED")))</f>
        <v/>
      </c>
      <c r="O101" s="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tr">
        <f t="shared" si="6"/>
        <v/>
      </c>
      <c r="N102" s="1" t="str">
        <f t="shared" si="7"/>
        <v/>
      </c>
      <c r="O102" s="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tr">
        <f t="shared" si="6"/>
        <v/>
      </c>
      <c r="N103" s="1" t="str">
        <f t="shared" si="7"/>
        <v/>
      </c>
      <c r="O103" s="3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tr">
        <f t="shared" si="6"/>
        <v/>
      </c>
      <c r="N104" s="1" t="str">
        <f t="shared" si="7"/>
        <v/>
      </c>
      <c r="O104" s="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tr">
        <f t="shared" si="6"/>
        <v/>
      </c>
      <c r="N105" s="1" t="str">
        <f t="shared" si="7"/>
        <v/>
      </c>
      <c r="O105" s="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tr">
        <f t="shared" si="6"/>
        <v/>
      </c>
      <c r="N106" s="1" t="str">
        <f t="shared" si="7"/>
        <v/>
      </c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tr">
        <f t="shared" si="6"/>
        <v/>
      </c>
      <c r="N107" s="1" t="str">
        <f t="shared" si="7"/>
        <v/>
      </c>
      <c r="O107" s="3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tr">
        <f t="shared" si="6"/>
        <v/>
      </c>
      <c r="N108" s="1" t="str">
        <f t="shared" si="7"/>
        <v/>
      </c>
      <c r="O108" s="3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tr">
        <f t="shared" si="6"/>
        <v/>
      </c>
      <c r="N109" s="1" t="str">
        <f t="shared" si="7"/>
        <v/>
      </c>
      <c r="O109" s="3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tr">
        <f t="shared" si="6"/>
        <v/>
      </c>
      <c r="N110" s="1" t="str">
        <f t="shared" si="7"/>
        <v/>
      </c>
      <c r="O110" s="3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tr">
        <f t="shared" si="6"/>
        <v/>
      </c>
      <c r="N111" s="1" t="str">
        <f t="shared" si="7"/>
        <v/>
      </c>
      <c r="O111" s="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tr">
        <f t="shared" si="6"/>
        <v/>
      </c>
      <c r="N112" s="1" t="str">
        <f t="shared" si="7"/>
        <v/>
      </c>
      <c r="O112" s="3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tr">
        <f t="shared" si="6"/>
        <v/>
      </c>
      <c r="N113" s="1" t="str">
        <f t="shared" si="7"/>
        <v/>
      </c>
      <c r="O113" s="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tr">
        <f t="shared" si="6"/>
        <v/>
      </c>
      <c r="N114" s="1" t="str">
        <f t="shared" si="7"/>
        <v/>
      </c>
      <c r="O114" s="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tr">
        <f t="shared" si="6"/>
        <v/>
      </c>
      <c r="N115" s="1" t="str">
        <f t="shared" si="7"/>
        <v/>
      </c>
      <c r="O115" s="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tr">
        <f t="shared" si="6"/>
        <v/>
      </c>
      <c r="N116" s="1" t="str">
        <f t="shared" si="7"/>
        <v/>
      </c>
      <c r="O116" s="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tr">
        <f t="shared" si="6"/>
        <v/>
      </c>
      <c r="N117" s="1" t="str">
        <f t="shared" si="7"/>
        <v/>
      </c>
      <c r="O117" s="3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tr">
        <f t="shared" si="6"/>
        <v/>
      </c>
      <c r="N118" s="1" t="str">
        <f t="shared" si="7"/>
        <v/>
      </c>
      <c r="O118" s="3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tr">
        <f t="shared" si="6"/>
        <v/>
      </c>
      <c r="N119" s="1" t="str">
        <f t="shared" si="7"/>
        <v/>
      </c>
      <c r="O119" s="3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tr">
        <f t="shared" si="6"/>
        <v/>
      </c>
      <c r="N120" s="1" t="str">
        <f t="shared" si="7"/>
        <v/>
      </c>
      <c r="O120" s="3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tr">
        <f t="shared" si="6"/>
        <v/>
      </c>
      <c r="N121" s="1" t="str">
        <f t="shared" si="7"/>
        <v/>
      </c>
      <c r="O121" s="3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tr">
        <f t="shared" si="6"/>
        <v/>
      </c>
      <c r="N122" s="1" t="str">
        <f t="shared" si="7"/>
        <v/>
      </c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tr">
        <f t="shared" si="6"/>
        <v/>
      </c>
      <c r="N123" s="1" t="str">
        <f t="shared" si="7"/>
        <v/>
      </c>
      <c r="O123" s="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tr">
        <f t="shared" si="6"/>
        <v/>
      </c>
      <c r="N124" s="1" t="str">
        <f t="shared" si="7"/>
        <v/>
      </c>
      <c r="O124" s="3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tr">
        <f t="shared" si="6"/>
        <v/>
      </c>
      <c r="N125" s="1" t="str">
        <f t="shared" si="7"/>
        <v/>
      </c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tr">
        <f t="shared" si="6"/>
        <v/>
      </c>
      <c r="N126" s="1" t="str">
        <f t="shared" si="7"/>
        <v/>
      </c>
      <c r="O126" s="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tr">
        <f t="shared" si="6"/>
        <v/>
      </c>
      <c r="N127" s="1" t="str">
        <f t="shared" si="7"/>
        <v/>
      </c>
      <c r="O127" s="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tr">
        <f t="shared" si="6"/>
        <v/>
      </c>
      <c r="N128" s="1" t="str">
        <f t="shared" si="7"/>
        <v/>
      </c>
      <c r="O128" s="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tr">
        <f t="shared" si="6"/>
        <v/>
      </c>
      <c r="N129" s="1" t="str">
        <f t="shared" si="7"/>
        <v/>
      </c>
      <c r="O129" s="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tr">
        <f t="shared" si="6"/>
        <v/>
      </c>
      <c r="N130" s="1" t="str">
        <f t="shared" si="7"/>
        <v/>
      </c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tr">
        <f t="shared" si="6"/>
        <v/>
      </c>
      <c r="N131" s="1" t="str">
        <f t="shared" si="7"/>
        <v/>
      </c>
      <c r="O131" s="3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tr">
        <f t="shared" si="6"/>
        <v/>
      </c>
      <c r="N132" s="1" t="str">
        <f t="shared" si="7"/>
        <v/>
      </c>
      <c r="O132" s="3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tr">
        <f t="shared" ref="M133:M164" si="8">IF(A133="","",SUM(C133:L133))</f>
        <v/>
      </c>
      <c r="N133" s="1" t="str">
        <f t="shared" ref="N133:N164" si="9">IF(A133="","",IF(M133&gt;=40,"GREEN",IF(M133&gt;=30,"YELLOW","RED")))</f>
        <v/>
      </c>
      <c r="O133" s="3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tr">
        <f t="shared" si="8"/>
        <v/>
      </c>
      <c r="N134" s="1" t="str">
        <f t="shared" si="9"/>
        <v/>
      </c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tr">
        <f t="shared" si="8"/>
        <v/>
      </c>
      <c r="N135" s="1" t="str">
        <f t="shared" si="9"/>
        <v/>
      </c>
      <c r="O135" s="3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tr">
        <f t="shared" si="8"/>
        <v/>
      </c>
      <c r="N136" s="1" t="str">
        <f t="shared" si="9"/>
        <v/>
      </c>
      <c r="O136" s="3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tr">
        <f t="shared" si="8"/>
        <v/>
      </c>
      <c r="N137" s="1" t="str">
        <f t="shared" si="9"/>
        <v/>
      </c>
      <c r="O137" s="3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tr">
        <f t="shared" si="8"/>
        <v/>
      </c>
      <c r="N138" s="1" t="str">
        <f t="shared" si="9"/>
        <v/>
      </c>
      <c r="O138" s="3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tr">
        <f t="shared" si="8"/>
        <v/>
      </c>
      <c r="N139" s="1" t="str">
        <f t="shared" si="9"/>
        <v/>
      </c>
      <c r="O139" s="3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tr">
        <f t="shared" si="8"/>
        <v/>
      </c>
      <c r="N140" s="1" t="str">
        <f t="shared" si="9"/>
        <v/>
      </c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tr">
        <f t="shared" si="8"/>
        <v/>
      </c>
      <c r="N141" s="1" t="str">
        <f t="shared" si="9"/>
        <v/>
      </c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tr">
        <f t="shared" si="8"/>
        <v/>
      </c>
      <c r="N142" s="1" t="str">
        <f t="shared" si="9"/>
        <v/>
      </c>
      <c r="O142" s="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tr">
        <f t="shared" si="8"/>
        <v/>
      </c>
      <c r="N143" s="1" t="str">
        <f t="shared" si="9"/>
        <v/>
      </c>
      <c r="O143" s="3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tr">
        <f t="shared" si="8"/>
        <v/>
      </c>
      <c r="N144" s="1" t="str">
        <f t="shared" si="9"/>
        <v/>
      </c>
      <c r="O144" s="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tr">
        <f t="shared" si="8"/>
        <v/>
      </c>
      <c r="N145" s="1" t="str">
        <f t="shared" si="9"/>
        <v/>
      </c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tr">
        <f t="shared" si="8"/>
        <v/>
      </c>
      <c r="N146" s="1" t="str">
        <f t="shared" si="9"/>
        <v/>
      </c>
      <c r="O146" s="3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tr">
        <f t="shared" si="8"/>
        <v/>
      </c>
      <c r="N147" s="1" t="str">
        <f t="shared" si="9"/>
        <v/>
      </c>
      <c r="O147" s="3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tr">
        <f t="shared" si="8"/>
        <v/>
      </c>
      <c r="N148" s="1" t="str">
        <f t="shared" si="9"/>
        <v/>
      </c>
      <c r="O148" s="3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tr">
        <f t="shared" si="8"/>
        <v/>
      </c>
      <c r="N149" s="1" t="str">
        <f t="shared" si="9"/>
        <v/>
      </c>
      <c r="O149" s="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tr">
        <f t="shared" si="8"/>
        <v/>
      </c>
      <c r="N150" s="1" t="str">
        <f t="shared" si="9"/>
        <v/>
      </c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tr">
        <f t="shared" si="8"/>
        <v/>
      </c>
      <c r="N151" s="1" t="str">
        <f t="shared" si="9"/>
        <v/>
      </c>
      <c r="O151" s="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tr">
        <f t="shared" si="8"/>
        <v/>
      </c>
      <c r="N152" s="1" t="str">
        <f t="shared" si="9"/>
        <v/>
      </c>
      <c r="O152" s="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tr">
        <f t="shared" si="8"/>
        <v/>
      </c>
      <c r="N153" s="1" t="str">
        <f t="shared" si="9"/>
        <v/>
      </c>
      <c r="O153" s="3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tr">
        <f t="shared" si="8"/>
        <v/>
      </c>
      <c r="N154" s="1" t="str">
        <f t="shared" si="9"/>
        <v/>
      </c>
      <c r="O154" s="3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tr">
        <f t="shared" si="8"/>
        <v/>
      </c>
      <c r="N155" s="1" t="str">
        <f t="shared" si="9"/>
        <v/>
      </c>
      <c r="O155" s="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tr">
        <f t="shared" si="8"/>
        <v/>
      </c>
      <c r="N156" s="1" t="str">
        <f t="shared" si="9"/>
        <v/>
      </c>
      <c r="O156" s="3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tr">
        <f t="shared" si="8"/>
        <v/>
      </c>
      <c r="N157" s="1" t="str">
        <f t="shared" si="9"/>
        <v/>
      </c>
      <c r="O157" s="3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tr">
        <f t="shared" si="8"/>
        <v/>
      </c>
      <c r="N158" s="1" t="str">
        <f t="shared" si="9"/>
        <v/>
      </c>
      <c r="O158" s="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tr">
        <f t="shared" si="8"/>
        <v/>
      </c>
      <c r="N159" s="1" t="str">
        <f t="shared" si="9"/>
        <v/>
      </c>
      <c r="O159" s="3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tr">
        <f t="shared" si="8"/>
        <v/>
      </c>
      <c r="N160" s="1" t="str">
        <f t="shared" si="9"/>
        <v/>
      </c>
      <c r="O160" s="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tr">
        <f t="shared" si="8"/>
        <v/>
      </c>
      <c r="N161" s="1" t="str">
        <f t="shared" si="9"/>
        <v/>
      </c>
      <c r="O161" s="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tr">
        <f t="shared" si="8"/>
        <v/>
      </c>
      <c r="N162" s="1" t="str">
        <f t="shared" si="9"/>
        <v/>
      </c>
      <c r="O162" s="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tr">
        <f t="shared" si="8"/>
        <v/>
      </c>
      <c r="N163" s="1" t="str">
        <f t="shared" si="9"/>
        <v/>
      </c>
      <c r="O163" s="3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tr">
        <f t="shared" si="8"/>
        <v/>
      </c>
      <c r="N164" s="1" t="str">
        <f t="shared" si="9"/>
        <v/>
      </c>
      <c r="O164" s="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tr">
        <f t="shared" ref="M165:M196" si="10">IF(A165="","",SUM(C165:L165))</f>
        <v/>
      </c>
      <c r="N165" s="1" t="str">
        <f t="shared" ref="N165:N196" si="11">IF(A165="","",IF(M165&gt;=40,"GREEN",IF(M165&gt;=30,"YELLOW","RED")))</f>
        <v/>
      </c>
      <c r="O165" s="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tr">
        <f t="shared" si="10"/>
        <v/>
      </c>
      <c r="N166" s="1" t="str">
        <f t="shared" si="11"/>
        <v/>
      </c>
      <c r="O166" s="3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tr">
        <f t="shared" si="10"/>
        <v/>
      </c>
      <c r="N167" s="1" t="str">
        <f t="shared" si="11"/>
        <v/>
      </c>
      <c r="O167" s="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tr">
        <f t="shared" si="10"/>
        <v/>
      </c>
      <c r="N168" s="1" t="str">
        <f t="shared" si="11"/>
        <v/>
      </c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tr">
        <f t="shared" si="10"/>
        <v/>
      </c>
      <c r="N169" s="1" t="str">
        <f t="shared" si="11"/>
        <v/>
      </c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tr">
        <f t="shared" si="10"/>
        <v/>
      </c>
      <c r="N170" s="1" t="str">
        <f t="shared" si="11"/>
        <v/>
      </c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tr">
        <f t="shared" si="10"/>
        <v/>
      </c>
      <c r="N171" s="1" t="str">
        <f t="shared" si="11"/>
        <v/>
      </c>
      <c r="O171" s="3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tr">
        <f t="shared" si="10"/>
        <v/>
      </c>
      <c r="N172" s="1" t="str">
        <f t="shared" si="11"/>
        <v/>
      </c>
      <c r="O172" s="3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tr">
        <f t="shared" si="10"/>
        <v/>
      </c>
      <c r="N173" s="1" t="str">
        <f t="shared" si="11"/>
        <v/>
      </c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tr">
        <f t="shared" si="10"/>
        <v/>
      </c>
      <c r="N174" s="1" t="str">
        <f t="shared" si="11"/>
        <v/>
      </c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tr">
        <f t="shared" si="10"/>
        <v/>
      </c>
      <c r="N175" s="1" t="str">
        <f t="shared" si="11"/>
        <v/>
      </c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tr">
        <f t="shared" si="10"/>
        <v/>
      </c>
      <c r="N176" s="1" t="str">
        <f t="shared" si="11"/>
        <v/>
      </c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tr">
        <f t="shared" si="10"/>
        <v/>
      </c>
      <c r="N177" s="1" t="str">
        <f t="shared" si="11"/>
        <v/>
      </c>
      <c r="O177" s="3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 t="str">
        <f t="shared" si="10"/>
        <v/>
      </c>
      <c r="N178" s="1" t="str">
        <f t="shared" si="11"/>
        <v/>
      </c>
      <c r="O178" s="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 t="str">
        <f t="shared" si="10"/>
        <v/>
      </c>
      <c r="N179" s="1" t="str">
        <f t="shared" si="11"/>
        <v/>
      </c>
      <c r="O179" s="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 t="str">
        <f t="shared" si="10"/>
        <v/>
      </c>
      <c r="N180" s="1" t="str">
        <f t="shared" si="11"/>
        <v/>
      </c>
      <c r="O180" s="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 t="str">
        <f t="shared" si="10"/>
        <v/>
      </c>
      <c r="N181" s="1" t="str">
        <f t="shared" si="11"/>
        <v/>
      </c>
      <c r="O181" s="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 t="str">
        <f t="shared" si="10"/>
        <v/>
      </c>
      <c r="N182" s="1" t="str">
        <f t="shared" si="11"/>
        <v/>
      </c>
      <c r="O182" s="3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 t="str">
        <f t="shared" si="10"/>
        <v/>
      </c>
      <c r="N183" s="1" t="str">
        <f t="shared" si="11"/>
        <v/>
      </c>
      <c r="O183" s="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 t="str">
        <f t="shared" si="10"/>
        <v/>
      </c>
      <c r="N184" s="1" t="str">
        <f t="shared" si="11"/>
        <v/>
      </c>
      <c r="O184" s="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 t="str">
        <f t="shared" si="10"/>
        <v/>
      </c>
      <c r="N185" s="1" t="str">
        <f t="shared" si="11"/>
        <v/>
      </c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 t="str">
        <f t="shared" si="10"/>
        <v/>
      </c>
      <c r="N186" s="1" t="str">
        <f t="shared" si="11"/>
        <v/>
      </c>
      <c r="O186" s="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 t="str">
        <f t="shared" si="10"/>
        <v/>
      </c>
      <c r="N187" s="1" t="str">
        <f t="shared" si="11"/>
        <v/>
      </c>
      <c r="O187" s="3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 t="str">
        <f t="shared" si="10"/>
        <v/>
      </c>
      <c r="N188" s="1" t="str">
        <f t="shared" si="11"/>
        <v/>
      </c>
      <c r="O188" s="3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 t="str">
        <f t="shared" si="10"/>
        <v/>
      </c>
      <c r="N189" s="1" t="str">
        <f t="shared" si="11"/>
        <v/>
      </c>
      <c r="O189" s="3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 t="str">
        <f t="shared" si="10"/>
        <v/>
      </c>
      <c r="N190" s="1" t="str">
        <f t="shared" si="11"/>
        <v/>
      </c>
      <c r="O190" s="3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 t="str">
        <f t="shared" si="10"/>
        <v/>
      </c>
      <c r="N191" s="1" t="str">
        <f t="shared" si="11"/>
        <v/>
      </c>
      <c r="O191" s="3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 t="str">
        <f t="shared" si="10"/>
        <v/>
      </c>
      <c r="N192" s="1" t="str">
        <f t="shared" si="11"/>
        <v/>
      </c>
      <c r="O192" s="3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 t="str">
        <f t="shared" si="10"/>
        <v/>
      </c>
      <c r="N193" s="1" t="str">
        <f t="shared" si="11"/>
        <v/>
      </c>
      <c r="O193" s="3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 t="str">
        <f t="shared" si="10"/>
        <v/>
      </c>
      <c r="N194" s="1" t="str">
        <f t="shared" si="11"/>
        <v/>
      </c>
      <c r="O194" s="3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 t="str">
        <f t="shared" si="10"/>
        <v/>
      </c>
      <c r="N195" s="1" t="str">
        <f t="shared" si="11"/>
        <v/>
      </c>
      <c r="O195" s="3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 t="str">
        <f t="shared" si="10"/>
        <v/>
      </c>
      <c r="N196" s="1" t="str">
        <f t="shared" si="11"/>
        <v/>
      </c>
      <c r="O196" s="3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 t="str">
        <f t="shared" ref="M197:M204" si="12">IF(A197="","",SUM(C197:L197))</f>
        <v/>
      </c>
      <c r="N197" s="1" t="str">
        <f t="shared" ref="N197:N204" si="13">IF(A197="","",IF(M197&gt;=40,"GREEN",IF(M197&gt;=30,"YELLOW","RED")))</f>
        <v/>
      </c>
      <c r="O197" s="3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 t="str">
        <f t="shared" si="12"/>
        <v/>
      </c>
      <c r="N198" s="1" t="str">
        <f t="shared" si="13"/>
        <v/>
      </c>
      <c r="O198" s="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 t="str">
        <f t="shared" si="12"/>
        <v/>
      </c>
      <c r="N199" s="1" t="str">
        <f t="shared" si="13"/>
        <v/>
      </c>
      <c r="O199" s="3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 t="str">
        <f t="shared" si="12"/>
        <v/>
      </c>
      <c r="N200" s="1" t="str">
        <f t="shared" si="13"/>
        <v/>
      </c>
      <c r="O200" s="3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 t="str">
        <f t="shared" si="12"/>
        <v/>
      </c>
      <c r="N201" s="1" t="str">
        <f t="shared" si="13"/>
        <v/>
      </c>
      <c r="O201" s="3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 t="str">
        <f t="shared" si="12"/>
        <v/>
      </c>
      <c r="N202" s="1" t="str">
        <f t="shared" si="13"/>
        <v/>
      </c>
      <c r="O202" s="3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 t="str">
        <f t="shared" si="12"/>
        <v/>
      </c>
      <c r="N203" s="1" t="str">
        <f t="shared" si="13"/>
        <v/>
      </c>
      <c r="O203" s="3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 t="str">
        <f t="shared" si="12"/>
        <v/>
      </c>
      <c r="N204" s="1" t="str">
        <f t="shared" si="13"/>
        <v/>
      </c>
      <c r="O204" s="3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">
    <mergeCell ref="A1:Q1"/>
    <mergeCell ref="A2:Q2"/>
  </mergeCells>
  <conditionalFormatting sqref="M5:M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C5:L204" xr:uid="{00000000-0002-0000-0400-000000000000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04"/>
  <sheetViews>
    <sheetView workbookViewId="0">
      <selection sqref="A1:M1"/>
    </sheetView>
  </sheetViews>
  <sheetFormatPr defaultRowHeight="14"/>
  <cols>
    <col min="1" max="2" width="20" customWidth="1"/>
    <col min="6" max="6" width="10" customWidth="1"/>
    <col min="7" max="7" width="9.08203125" customWidth="1"/>
    <col min="9" max="9" width="11.5" customWidth="1"/>
    <col min="10" max="10" width="11.83203125" customWidth="1"/>
  </cols>
  <sheetData>
    <row r="1" spans="1:26" ht="21.4" customHeight="1">
      <c r="A1" s="5" t="s">
        <v>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" customHeight="1">
      <c r="A4" s="2" t="s">
        <v>73</v>
      </c>
      <c r="B4" s="2" t="s">
        <v>55</v>
      </c>
      <c r="C4" s="2" t="s">
        <v>56</v>
      </c>
      <c r="D4" s="2" t="s">
        <v>45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52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">
    <mergeCell ref="A1:M1"/>
    <mergeCell ref="A2:M2"/>
  </mergeCells>
  <dataValidations count="4">
    <dataValidation type="list" sqref="D5:D404" xr:uid="{00000000-0002-0000-0500-000000000000}">
      <formula1>"Sourced,Contacted,Screened,Submitted,Interview,Offer,Placed,Rejected,Withdrawn"</formula1>
    </dataValidation>
    <dataValidation sqref="E5:F404" xr:uid="{00000000-0002-0000-0500-000001000000}">
      <formula1>1</formula1>
      <formula2>5</formula2>
    </dataValidation>
    <dataValidation type="list" sqref="G5:H404" xr:uid="{00000000-0002-0000-0500-000002000000}">
      <formula1>"Yes,No,Unknown"</formula1>
    </dataValidation>
    <dataValidation type="list" sqref="J5:J404" xr:uid="{00000000-0002-0000-0500-000003000000}">
      <formula1>"Low,Medium,High,Unknown"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04"/>
  <sheetViews>
    <sheetView workbookViewId="0">
      <selection sqref="A1:L1"/>
    </sheetView>
  </sheetViews>
  <sheetFormatPr defaultRowHeight="14"/>
  <cols>
    <col min="1" max="2" width="20" customWidth="1"/>
    <col min="3" max="3" width="15.5" customWidth="1"/>
    <col min="5" max="5" width="10.25" customWidth="1"/>
    <col min="6" max="6" width="11.08203125" customWidth="1"/>
    <col min="7" max="7" width="10.25" customWidth="1"/>
    <col min="11" max="11" width="12.33203125" customWidth="1"/>
    <col min="12" max="12" width="9.58203125" customWidth="1"/>
  </cols>
  <sheetData>
    <row r="1" spans="1:26" ht="21.4" customHeight="1">
      <c r="A1" s="5" t="s">
        <v>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83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" customHeight="1">
      <c r="A4" s="2" t="s">
        <v>55</v>
      </c>
      <c r="B4" s="2" t="s">
        <v>84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70</v>
      </c>
      <c r="K4" s="2" t="s">
        <v>92</v>
      </c>
      <c r="L4" s="2" t="s">
        <v>93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 t="str">
        <f t="shared" ref="I5:I36" si="0">IF(A5="","",ROUND(((B5+C5+D5+E5+F5+G5)*5-(H5*5))/30*100,0))</f>
        <v/>
      </c>
      <c r="J5" s="1" t="str">
        <f t="shared" ref="J5:J36" si="1">IF(A5="","",IF(I5&gt;=75,"Healthy",IF(I5&gt;=55,"Watch","At Risk")))</f>
        <v/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 t="str">
        <f t="shared" si="0"/>
        <v/>
      </c>
      <c r="J6" s="1" t="str">
        <f t="shared" si="1"/>
        <v/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 t="str">
        <f t="shared" si="0"/>
        <v/>
      </c>
      <c r="J7" s="1" t="str">
        <f t="shared" si="1"/>
        <v/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 t="str">
        <f t="shared" si="0"/>
        <v/>
      </c>
      <c r="J8" s="1" t="str">
        <f t="shared" si="1"/>
        <v/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 t="str">
        <f t="shared" si="0"/>
        <v/>
      </c>
      <c r="J9" s="1" t="str">
        <f t="shared" si="1"/>
        <v/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 t="str">
        <f t="shared" si="0"/>
        <v/>
      </c>
      <c r="J10" s="1" t="str">
        <f t="shared" si="1"/>
        <v/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 t="str">
        <f t="shared" si="0"/>
        <v/>
      </c>
      <c r="J11" s="1" t="str">
        <f t="shared" si="1"/>
        <v/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 t="str">
        <f t="shared" si="0"/>
        <v/>
      </c>
      <c r="J12" s="1" t="str">
        <f t="shared" si="1"/>
        <v/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 t="str">
        <f t="shared" si="0"/>
        <v/>
      </c>
      <c r="J13" s="1" t="str">
        <f t="shared" si="1"/>
        <v/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 t="str">
        <f t="shared" si="0"/>
        <v/>
      </c>
      <c r="J14" s="1" t="str">
        <f t="shared" si="1"/>
        <v/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 t="str">
        <f t="shared" si="0"/>
        <v/>
      </c>
      <c r="J15" s="1" t="str">
        <f t="shared" si="1"/>
        <v/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 t="str">
        <f t="shared" si="0"/>
        <v/>
      </c>
      <c r="J16" s="1" t="str">
        <f t="shared" si="1"/>
        <v/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 t="str">
        <f t="shared" si="0"/>
        <v/>
      </c>
      <c r="J17" s="1" t="str">
        <f t="shared" si="1"/>
        <v/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 t="str">
        <f t="shared" si="0"/>
        <v/>
      </c>
      <c r="J18" s="1" t="str">
        <f t="shared" si="1"/>
        <v/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 t="str">
        <f t="shared" si="0"/>
        <v/>
      </c>
      <c r="J19" s="1" t="str">
        <f t="shared" si="1"/>
        <v/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 t="str">
        <f t="shared" si="0"/>
        <v/>
      </c>
      <c r="J20" s="1" t="str">
        <f t="shared" si="1"/>
        <v/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 t="str">
        <f t="shared" si="0"/>
        <v/>
      </c>
      <c r="J21" s="1" t="str">
        <f t="shared" si="1"/>
        <v/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 t="str">
        <f t="shared" si="0"/>
        <v/>
      </c>
      <c r="J22" s="1" t="str">
        <f t="shared" si="1"/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 t="str">
        <f t="shared" si="0"/>
        <v/>
      </c>
      <c r="J23" s="1" t="str">
        <f t="shared" si="1"/>
        <v/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 t="str">
        <f t="shared" si="0"/>
        <v/>
      </c>
      <c r="J24" s="1" t="str">
        <f t="shared" si="1"/>
        <v/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 t="str">
        <f t="shared" si="0"/>
        <v/>
      </c>
      <c r="J25" s="1" t="str">
        <f t="shared" si="1"/>
        <v/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 t="str">
        <f t="shared" si="0"/>
        <v/>
      </c>
      <c r="J26" s="1" t="str">
        <f t="shared" si="1"/>
        <v/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 t="str">
        <f t="shared" si="0"/>
        <v/>
      </c>
      <c r="J27" s="1" t="str">
        <f t="shared" si="1"/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 t="str">
        <f t="shared" si="0"/>
        <v/>
      </c>
      <c r="J28" s="1" t="str">
        <f t="shared" si="1"/>
        <v/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 t="str">
        <f t="shared" si="0"/>
        <v/>
      </c>
      <c r="J29" s="1" t="str">
        <f t="shared" si="1"/>
        <v/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 t="str">
        <f t="shared" si="0"/>
        <v/>
      </c>
      <c r="J30" s="1" t="str">
        <f t="shared" si="1"/>
        <v/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 t="str">
        <f t="shared" si="0"/>
        <v/>
      </c>
      <c r="J31" s="1" t="str">
        <f t="shared" si="1"/>
        <v/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 t="str">
        <f t="shared" si="0"/>
        <v/>
      </c>
      <c r="J32" s="1" t="str">
        <f t="shared" si="1"/>
        <v/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 t="str">
        <f t="shared" si="0"/>
        <v/>
      </c>
      <c r="J33" s="1" t="str">
        <f t="shared" si="1"/>
        <v/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 t="str">
        <f t="shared" si="0"/>
        <v/>
      </c>
      <c r="J34" s="1" t="str">
        <f t="shared" si="1"/>
        <v/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 t="str">
        <f t="shared" si="0"/>
        <v/>
      </c>
      <c r="J35" s="1" t="str">
        <f t="shared" si="1"/>
        <v/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 t="str">
        <f t="shared" si="0"/>
        <v/>
      </c>
      <c r="J36" s="1" t="str">
        <f t="shared" si="1"/>
        <v/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 t="str">
        <f t="shared" ref="I37:I68" si="2">IF(A37="","",ROUND(((B37+C37+D37+E37+F37+G37)*5-(H37*5))/30*100,0))</f>
        <v/>
      </c>
      <c r="J37" s="1" t="str">
        <f t="shared" ref="J37:J68" si="3">IF(A37="","",IF(I37&gt;=75,"Healthy",IF(I37&gt;=55,"Watch","At Risk")))</f>
        <v/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 t="str">
        <f t="shared" si="2"/>
        <v/>
      </c>
      <c r="J38" s="1" t="str">
        <f t="shared" si="3"/>
        <v/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 t="str">
        <f t="shared" si="2"/>
        <v/>
      </c>
      <c r="J39" s="1" t="str">
        <f t="shared" si="3"/>
        <v/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 t="str">
        <f t="shared" si="2"/>
        <v/>
      </c>
      <c r="J40" s="1" t="str">
        <f t="shared" si="3"/>
        <v/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 t="str">
        <f t="shared" si="2"/>
        <v/>
      </c>
      <c r="J41" s="1" t="str">
        <f t="shared" si="3"/>
        <v/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 t="str">
        <f t="shared" si="2"/>
        <v/>
      </c>
      <c r="J42" s="1" t="str">
        <f t="shared" si="3"/>
        <v/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 t="str">
        <f t="shared" si="2"/>
        <v/>
      </c>
      <c r="J43" s="1" t="str">
        <f t="shared" si="3"/>
        <v/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 t="str">
        <f t="shared" si="2"/>
        <v/>
      </c>
      <c r="J44" s="1" t="str">
        <f t="shared" si="3"/>
        <v/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 t="str">
        <f t="shared" si="2"/>
        <v/>
      </c>
      <c r="J45" s="1" t="str">
        <f t="shared" si="3"/>
        <v/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 t="str">
        <f t="shared" si="2"/>
        <v/>
      </c>
      <c r="J46" s="1" t="str">
        <f t="shared" si="3"/>
        <v/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 t="str">
        <f t="shared" si="2"/>
        <v/>
      </c>
      <c r="J47" s="1" t="str">
        <f t="shared" si="3"/>
        <v/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 t="str">
        <f t="shared" si="2"/>
        <v/>
      </c>
      <c r="J48" s="1" t="str">
        <f t="shared" si="3"/>
        <v/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 t="str">
        <f t="shared" si="2"/>
        <v/>
      </c>
      <c r="J49" s="1" t="str">
        <f t="shared" si="3"/>
        <v/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 t="str">
        <f t="shared" si="2"/>
        <v/>
      </c>
      <c r="J50" s="1" t="str">
        <f t="shared" si="3"/>
        <v/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 t="str">
        <f t="shared" si="2"/>
        <v/>
      </c>
      <c r="J51" s="1" t="str">
        <f t="shared" si="3"/>
        <v/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 t="str">
        <f t="shared" si="2"/>
        <v/>
      </c>
      <c r="J52" s="1" t="str">
        <f t="shared" si="3"/>
        <v/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 t="str">
        <f t="shared" si="2"/>
        <v/>
      </c>
      <c r="J53" s="1" t="str">
        <f t="shared" si="3"/>
        <v/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 t="str">
        <f t="shared" si="2"/>
        <v/>
      </c>
      <c r="J54" s="1" t="str">
        <f t="shared" si="3"/>
        <v/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 t="str">
        <f t="shared" si="2"/>
        <v/>
      </c>
      <c r="J55" s="1" t="str">
        <f t="shared" si="3"/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 t="str">
        <f t="shared" si="2"/>
        <v/>
      </c>
      <c r="J56" s="1" t="str">
        <f t="shared" si="3"/>
        <v/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 t="str">
        <f t="shared" si="2"/>
        <v/>
      </c>
      <c r="J57" s="1" t="str">
        <f t="shared" si="3"/>
        <v/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 t="str">
        <f t="shared" si="2"/>
        <v/>
      </c>
      <c r="J58" s="1" t="str">
        <f t="shared" si="3"/>
        <v/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 t="str">
        <f t="shared" si="2"/>
        <v/>
      </c>
      <c r="J59" s="1" t="str">
        <f t="shared" si="3"/>
        <v/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 t="str">
        <f t="shared" si="2"/>
        <v/>
      </c>
      <c r="J60" s="1" t="str">
        <f t="shared" si="3"/>
        <v/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 t="str">
        <f t="shared" si="2"/>
        <v/>
      </c>
      <c r="J61" s="1" t="str">
        <f t="shared" si="3"/>
        <v/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 t="str">
        <f t="shared" si="2"/>
        <v/>
      </c>
      <c r="J62" s="1" t="str">
        <f t="shared" si="3"/>
        <v/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 t="str">
        <f t="shared" si="2"/>
        <v/>
      </c>
      <c r="J63" s="1" t="str">
        <f t="shared" si="3"/>
        <v/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 t="str">
        <f t="shared" si="2"/>
        <v/>
      </c>
      <c r="J64" s="1" t="str">
        <f t="shared" si="3"/>
        <v/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 t="str">
        <f t="shared" si="2"/>
        <v/>
      </c>
      <c r="J65" s="1" t="str">
        <f t="shared" si="3"/>
        <v/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 t="str">
        <f t="shared" si="2"/>
        <v/>
      </c>
      <c r="J66" s="1" t="str">
        <f t="shared" si="3"/>
        <v/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 t="str">
        <f t="shared" si="2"/>
        <v/>
      </c>
      <c r="J67" s="1" t="str">
        <f t="shared" si="3"/>
        <v/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 t="str">
        <f t="shared" si="2"/>
        <v/>
      </c>
      <c r="J68" s="1" t="str">
        <f t="shared" si="3"/>
        <v/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 t="str">
        <f t="shared" ref="I69:I100" si="4">IF(A69="","",ROUND(((B69+C69+D69+E69+F69+G69)*5-(H69*5))/30*100,0))</f>
        <v/>
      </c>
      <c r="J69" s="1" t="str">
        <f t="shared" ref="J69:J100" si="5">IF(A69="","",IF(I69&gt;=75,"Healthy",IF(I69&gt;=55,"Watch","At Risk")))</f>
        <v/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 t="str">
        <f t="shared" si="4"/>
        <v/>
      </c>
      <c r="J70" s="1" t="str">
        <f t="shared" si="5"/>
        <v/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 t="str">
        <f t="shared" si="4"/>
        <v/>
      </c>
      <c r="J71" s="1" t="str">
        <f t="shared" si="5"/>
        <v/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 t="str">
        <f t="shared" si="4"/>
        <v/>
      </c>
      <c r="J72" s="1" t="str">
        <f t="shared" si="5"/>
        <v/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 t="str">
        <f t="shared" si="4"/>
        <v/>
      </c>
      <c r="J73" s="1" t="str">
        <f t="shared" si="5"/>
        <v/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 t="str">
        <f t="shared" si="4"/>
        <v/>
      </c>
      <c r="J74" s="1" t="str">
        <f t="shared" si="5"/>
        <v/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 t="str">
        <f t="shared" si="4"/>
        <v/>
      </c>
      <c r="J75" s="1" t="str">
        <f t="shared" si="5"/>
        <v/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 t="str">
        <f t="shared" si="4"/>
        <v/>
      </c>
      <c r="J76" s="1" t="str">
        <f t="shared" si="5"/>
        <v/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 t="str">
        <f t="shared" si="4"/>
        <v/>
      </c>
      <c r="J77" s="1" t="str">
        <f t="shared" si="5"/>
        <v/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 t="str">
        <f t="shared" si="4"/>
        <v/>
      </c>
      <c r="J78" s="1" t="str">
        <f t="shared" si="5"/>
        <v/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 t="str">
        <f t="shared" si="4"/>
        <v/>
      </c>
      <c r="J79" s="1" t="str">
        <f t="shared" si="5"/>
        <v/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 t="str">
        <f t="shared" si="4"/>
        <v/>
      </c>
      <c r="J80" s="1" t="str">
        <f t="shared" si="5"/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 t="str">
        <f t="shared" si="4"/>
        <v/>
      </c>
      <c r="J81" s="1" t="str">
        <f t="shared" si="5"/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 t="str">
        <f t="shared" si="4"/>
        <v/>
      </c>
      <c r="J82" s="1" t="str">
        <f t="shared" si="5"/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 t="str">
        <f t="shared" si="4"/>
        <v/>
      </c>
      <c r="J83" s="1" t="str">
        <f t="shared" si="5"/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 t="str">
        <f t="shared" si="4"/>
        <v/>
      </c>
      <c r="J84" s="1" t="str">
        <f t="shared" si="5"/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 t="str">
        <f t="shared" si="4"/>
        <v/>
      </c>
      <c r="J85" s="1" t="str">
        <f t="shared" si="5"/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 t="str">
        <f t="shared" si="4"/>
        <v/>
      </c>
      <c r="J86" s="1" t="str">
        <f t="shared" si="5"/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 t="str">
        <f t="shared" si="4"/>
        <v/>
      </c>
      <c r="J87" s="1" t="str">
        <f t="shared" si="5"/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 t="str">
        <f t="shared" si="4"/>
        <v/>
      </c>
      <c r="J88" s="1" t="str">
        <f t="shared" si="5"/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 t="str">
        <f t="shared" si="4"/>
        <v/>
      </c>
      <c r="J89" s="1" t="str">
        <f t="shared" si="5"/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 t="str">
        <f t="shared" si="4"/>
        <v/>
      </c>
      <c r="J90" s="1" t="str">
        <f t="shared" si="5"/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 t="str">
        <f t="shared" si="4"/>
        <v/>
      </c>
      <c r="J91" s="1" t="str">
        <f t="shared" si="5"/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 t="str">
        <f t="shared" si="4"/>
        <v/>
      </c>
      <c r="J92" s="1" t="str">
        <f t="shared" si="5"/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 t="str">
        <f t="shared" si="4"/>
        <v/>
      </c>
      <c r="J93" s="1" t="str">
        <f t="shared" si="5"/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 t="str">
        <f t="shared" si="4"/>
        <v/>
      </c>
      <c r="J94" s="1" t="str">
        <f t="shared" si="5"/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 t="str">
        <f t="shared" si="4"/>
        <v/>
      </c>
      <c r="J95" s="1" t="str">
        <f t="shared" si="5"/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 t="str">
        <f t="shared" si="4"/>
        <v/>
      </c>
      <c r="J96" s="1" t="str">
        <f t="shared" si="5"/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 t="str">
        <f t="shared" si="4"/>
        <v/>
      </c>
      <c r="J97" s="1" t="str">
        <f t="shared" si="5"/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 t="str">
        <f t="shared" si="4"/>
        <v/>
      </c>
      <c r="J98" s="1" t="str">
        <f t="shared" si="5"/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 t="str">
        <f t="shared" si="4"/>
        <v/>
      </c>
      <c r="J99" s="1" t="str">
        <f t="shared" si="5"/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 t="str">
        <f t="shared" si="4"/>
        <v/>
      </c>
      <c r="J100" s="1" t="str">
        <f t="shared" si="5"/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 t="str">
        <f t="shared" ref="I101:I132" si="6">IF(A101="","",ROUND(((B101+C101+D101+E101+F101+G101)*5-(H101*5))/30*100,0))</f>
        <v/>
      </c>
      <c r="J101" s="1" t="str">
        <f t="shared" ref="J101:J132" si="7">IF(A101="","",IF(I101&gt;=75,"Healthy",IF(I101&gt;=55,"Watch","At Risk")))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 t="str">
        <f t="shared" si="6"/>
        <v/>
      </c>
      <c r="J102" s="1" t="str">
        <f t="shared" si="7"/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 t="str">
        <f t="shared" si="6"/>
        <v/>
      </c>
      <c r="J103" s="1" t="str">
        <f t="shared" si="7"/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 t="str">
        <f t="shared" si="6"/>
        <v/>
      </c>
      <c r="J104" s="1" t="str">
        <f t="shared" si="7"/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 t="str">
        <f t="shared" si="6"/>
        <v/>
      </c>
      <c r="J105" s="1" t="str">
        <f t="shared" si="7"/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 t="str">
        <f t="shared" si="6"/>
        <v/>
      </c>
      <c r="J106" s="1" t="str">
        <f t="shared" si="7"/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 t="str">
        <f t="shared" si="6"/>
        <v/>
      </c>
      <c r="J107" s="1" t="str">
        <f t="shared" si="7"/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 t="str">
        <f t="shared" si="6"/>
        <v/>
      </c>
      <c r="J108" s="1" t="str">
        <f t="shared" si="7"/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 t="str">
        <f t="shared" si="6"/>
        <v/>
      </c>
      <c r="J109" s="1" t="str">
        <f t="shared" si="7"/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 t="str">
        <f t="shared" si="6"/>
        <v/>
      </c>
      <c r="J110" s="1" t="str">
        <f t="shared" si="7"/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 t="str">
        <f t="shared" si="6"/>
        <v/>
      </c>
      <c r="J111" s="1" t="str">
        <f t="shared" si="7"/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 t="str">
        <f t="shared" si="6"/>
        <v/>
      </c>
      <c r="J112" s="1" t="str">
        <f t="shared" si="7"/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 t="str">
        <f t="shared" si="6"/>
        <v/>
      </c>
      <c r="J113" s="1" t="str">
        <f t="shared" si="7"/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 t="str">
        <f t="shared" si="6"/>
        <v/>
      </c>
      <c r="J114" s="1" t="str">
        <f t="shared" si="7"/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 t="str">
        <f t="shared" si="6"/>
        <v/>
      </c>
      <c r="J115" s="1" t="str">
        <f t="shared" si="7"/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 t="str">
        <f t="shared" si="6"/>
        <v/>
      </c>
      <c r="J116" s="1" t="str">
        <f t="shared" si="7"/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 t="str">
        <f t="shared" si="6"/>
        <v/>
      </c>
      <c r="J117" s="1" t="str">
        <f t="shared" si="7"/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 t="str">
        <f t="shared" si="6"/>
        <v/>
      </c>
      <c r="J118" s="1" t="str">
        <f t="shared" si="7"/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 t="str">
        <f t="shared" si="6"/>
        <v/>
      </c>
      <c r="J119" s="1" t="str">
        <f t="shared" si="7"/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 t="str">
        <f t="shared" si="6"/>
        <v/>
      </c>
      <c r="J120" s="1" t="str">
        <f t="shared" si="7"/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 t="str">
        <f t="shared" si="6"/>
        <v/>
      </c>
      <c r="J121" s="1" t="str">
        <f t="shared" si="7"/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 t="str">
        <f t="shared" si="6"/>
        <v/>
      </c>
      <c r="J122" s="1" t="str">
        <f t="shared" si="7"/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 t="str">
        <f t="shared" si="6"/>
        <v/>
      </c>
      <c r="J123" s="1" t="str">
        <f t="shared" si="7"/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 t="str">
        <f t="shared" si="6"/>
        <v/>
      </c>
      <c r="J124" s="1" t="str">
        <f t="shared" si="7"/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 t="str">
        <f t="shared" si="6"/>
        <v/>
      </c>
      <c r="J125" s="1" t="str">
        <f t="shared" si="7"/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 t="str">
        <f t="shared" si="6"/>
        <v/>
      </c>
      <c r="J126" s="1" t="str">
        <f t="shared" si="7"/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 t="str">
        <f t="shared" si="6"/>
        <v/>
      </c>
      <c r="J127" s="1" t="str">
        <f t="shared" si="7"/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 t="str">
        <f t="shared" si="6"/>
        <v/>
      </c>
      <c r="J128" s="1" t="str">
        <f t="shared" si="7"/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 t="str">
        <f t="shared" si="6"/>
        <v/>
      </c>
      <c r="J129" s="1" t="str">
        <f t="shared" si="7"/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 t="str">
        <f t="shared" si="6"/>
        <v/>
      </c>
      <c r="J130" s="1" t="str">
        <f t="shared" si="7"/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 t="str">
        <f t="shared" si="6"/>
        <v/>
      </c>
      <c r="J131" s="1" t="str">
        <f t="shared" si="7"/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 t="str">
        <f t="shared" si="6"/>
        <v/>
      </c>
      <c r="J132" s="1" t="str">
        <f t="shared" si="7"/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 t="str">
        <f t="shared" ref="I133:I164" si="8">IF(A133="","",ROUND(((B133+C133+D133+E133+F133+G133)*5-(H133*5))/30*100,0))</f>
        <v/>
      </c>
      <c r="J133" s="1" t="str">
        <f t="shared" ref="J133:J164" si="9">IF(A133="","",IF(I133&gt;=75,"Healthy",IF(I133&gt;=55,"Watch","At Risk")))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 t="str">
        <f t="shared" si="8"/>
        <v/>
      </c>
      <c r="J134" s="1" t="str">
        <f t="shared" si="9"/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 t="str">
        <f t="shared" si="8"/>
        <v/>
      </c>
      <c r="J135" s="1" t="str">
        <f t="shared" si="9"/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 t="str">
        <f t="shared" si="8"/>
        <v/>
      </c>
      <c r="J136" s="1" t="str">
        <f t="shared" si="9"/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 t="str">
        <f t="shared" si="8"/>
        <v/>
      </c>
      <c r="J137" s="1" t="str">
        <f t="shared" si="9"/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 t="str">
        <f t="shared" si="8"/>
        <v/>
      </c>
      <c r="J138" s="1" t="str">
        <f t="shared" si="9"/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 t="str">
        <f t="shared" si="8"/>
        <v/>
      </c>
      <c r="J139" s="1" t="str">
        <f t="shared" si="9"/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 t="str">
        <f t="shared" si="8"/>
        <v/>
      </c>
      <c r="J140" s="1" t="str">
        <f t="shared" si="9"/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 t="str">
        <f t="shared" si="8"/>
        <v/>
      </c>
      <c r="J141" s="1" t="str">
        <f t="shared" si="9"/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 t="str">
        <f t="shared" si="8"/>
        <v/>
      </c>
      <c r="J142" s="1" t="str">
        <f t="shared" si="9"/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 t="str">
        <f t="shared" si="8"/>
        <v/>
      </c>
      <c r="J143" s="1" t="str">
        <f t="shared" si="9"/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 t="str">
        <f t="shared" si="8"/>
        <v/>
      </c>
      <c r="J144" s="1" t="str">
        <f t="shared" si="9"/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 t="str">
        <f t="shared" si="8"/>
        <v/>
      </c>
      <c r="J145" s="1" t="str">
        <f t="shared" si="9"/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 t="str">
        <f t="shared" si="8"/>
        <v/>
      </c>
      <c r="J146" s="1" t="str">
        <f t="shared" si="9"/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 t="str">
        <f t="shared" si="8"/>
        <v/>
      </c>
      <c r="J147" s="1" t="str">
        <f t="shared" si="9"/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 t="str">
        <f t="shared" si="8"/>
        <v/>
      </c>
      <c r="J148" s="1" t="str">
        <f t="shared" si="9"/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 t="str">
        <f t="shared" si="8"/>
        <v/>
      </c>
      <c r="J149" s="1" t="str">
        <f t="shared" si="9"/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 t="str">
        <f t="shared" si="8"/>
        <v/>
      </c>
      <c r="J150" s="1" t="str">
        <f t="shared" si="9"/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 t="str">
        <f t="shared" si="8"/>
        <v/>
      </c>
      <c r="J151" s="1" t="str">
        <f t="shared" si="9"/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 t="str">
        <f t="shared" si="8"/>
        <v/>
      </c>
      <c r="J152" s="1" t="str">
        <f t="shared" si="9"/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 t="str">
        <f t="shared" si="8"/>
        <v/>
      </c>
      <c r="J153" s="1" t="str">
        <f t="shared" si="9"/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 t="str">
        <f t="shared" si="8"/>
        <v/>
      </c>
      <c r="J154" s="1" t="str">
        <f t="shared" si="9"/>
        <v/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 t="str">
        <f t="shared" si="8"/>
        <v/>
      </c>
      <c r="J155" s="1" t="str">
        <f t="shared" si="9"/>
        <v/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 t="str">
        <f t="shared" si="8"/>
        <v/>
      </c>
      <c r="J156" s="1" t="str">
        <f t="shared" si="9"/>
        <v/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 t="str">
        <f t="shared" si="8"/>
        <v/>
      </c>
      <c r="J157" s="1" t="str">
        <f t="shared" si="9"/>
        <v/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 t="str">
        <f t="shared" si="8"/>
        <v/>
      </c>
      <c r="J158" s="1" t="str">
        <f t="shared" si="9"/>
        <v/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 t="str">
        <f t="shared" si="8"/>
        <v/>
      </c>
      <c r="J159" s="1" t="str">
        <f t="shared" si="9"/>
        <v/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 t="str">
        <f t="shared" si="8"/>
        <v/>
      </c>
      <c r="J160" s="1" t="str">
        <f t="shared" si="9"/>
        <v/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 t="str">
        <f t="shared" si="8"/>
        <v/>
      </c>
      <c r="J161" s="1" t="str">
        <f t="shared" si="9"/>
        <v/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 t="str">
        <f t="shared" si="8"/>
        <v/>
      </c>
      <c r="J162" s="1" t="str">
        <f t="shared" si="9"/>
        <v/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 t="str">
        <f t="shared" si="8"/>
        <v/>
      </c>
      <c r="J163" s="1" t="str">
        <f t="shared" si="9"/>
        <v/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 t="str">
        <f t="shared" si="8"/>
        <v/>
      </c>
      <c r="J164" s="1" t="str">
        <f t="shared" si="9"/>
        <v/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 t="str">
        <f t="shared" ref="I165:I196" si="10">IF(A165="","",ROUND(((B165+C165+D165+E165+F165+G165)*5-(H165*5))/30*100,0))</f>
        <v/>
      </c>
      <c r="J165" s="1" t="str">
        <f t="shared" ref="J165:J196" si="11">IF(A165="","",IF(I165&gt;=75,"Healthy",IF(I165&gt;=55,"Watch","At Risk")))</f>
        <v/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 t="str">
        <f t="shared" si="10"/>
        <v/>
      </c>
      <c r="J166" s="1" t="str">
        <f t="shared" si="11"/>
        <v/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 t="str">
        <f t="shared" si="10"/>
        <v/>
      </c>
      <c r="J167" s="1" t="str">
        <f t="shared" si="11"/>
        <v/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 t="str">
        <f t="shared" si="10"/>
        <v/>
      </c>
      <c r="J168" s="1" t="str">
        <f t="shared" si="11"/>
        <v/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 t="str">
        <f t="shared" si="10"/>
        <v/>
      </c>
      <c r="J169" s="1" t="str">
        <f t="shared" si="11"/>
        <v/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 t="str">
        <f t="shared" si="10"/>
        <v/>
      </c>
      <c r="J170" s="1" t="str">
        <f t="shared" si="11"/>
        <v/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 t="str">
        <f t="shared" si="10"/>
        <v/>
      </c>
      <c r="J171" s="1" t="str">
        <f t="shared" si="11"/>
        <v/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 t="str">
        <f t="shared" si="10"/>
        <v/>
      </c>
      <c r="J172" s="1" t="str">
        <f t="shared" si="11"/>
        <v/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 t="str">
        <f t="shared" si="10"/>
        <v/>
      </c>
      <c r="J173" s="1" t="str">
        <f t="shared" si="11"/>
        <v/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 t="str">
        <f t="shared" si="10"/>
        <v/>
      </c>
      <c r="J174" s="1" t="str">
        <f t="shared" si="11"/>
        <v/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 t="str">
        <f t="shared" si="10"/>
        <v/>
      </c>
      <c r="J175" s="1" t="str">
        <f t="shared" si="11"/>
        <v/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 t="str">
        <f t="shared" si="10"/>
        <v/>
      </c>
      <c r="J176" s="1" t="str">
        <f t="shared" si="11"/>
        <v/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 t="str">
        <f t="shared" si="10"/>
        <v/>
      </c>
      <c r="J177" s="1" t="str">
        <f t="shared" si="11"/>
        <v/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 t="str">
        <f t="shared" si="10"/>
        <v/>
      </c>
      <c r="J178" s="1" t="str">
        <f t="shared" si="11"/>
        <v/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 t="str">
        <f t="shared" si="10"/>
        <v/>
      </c>
      <c r="J179" s="1" t="str">
        <f t="shared" si="11"/>
        <v/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 t="str">
        <f t="shared" si="10"/>
        <v/>
      </c>
      <c r="J180" s="1" t="str">
        <f t="shared" si="11"/>
        <v/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 t="str">
        <f t="shared" si="10"/>
        <v/>
      </c>
      <c r="J181" s="1" t="str">
        <f t="shared" si="11"/>
        <v/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 t="str">
        <f t="shared" si="10"/>
        <v/>
      </c>
      <c r="J182" s="1" t="str">
        <f t="shared" si="11"/>
        <v/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 t="str">
        <f t="shared" si="10"/>
        <v/>
      </c>
      <c r="J183" s="1" t="str">
        <f t="shared" si="11"/>
        <v/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 t="str">
        <f t="shared" si="10"/>
        <v/>
      </c>
      <c r="J184" s="1" t="str">
        <f t="shared" si="11"/>
        <v/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 t="str">
        <f t="shared" si="10"/>
        <v/>
      </c>
      <c r="J185" s="1" t="str">
        <f t="shared" si="11"/>
        <v/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 t="str">
        <f t="shared" si="10"/>
        <v/>
      </c>
      <c r="J186" s="1" t="str">
        <f t="shared" si="11"/>
        <v/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 t="str">
        <f t="shared" si="10"/>
        <v/>
      </c>
      <c r="J187" s="1" t="str">
        <f t="shared" si="11"/>
        <v/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 t="str">
        <f t="shared" si="10"/>
        <v/>
      </c>
      <c r="J188" s="1" t="str">
        <f t="shared" si="11"/>
        <v/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 t="str">
        <f t="shared" si="10"/>
        <v/>
      </c>
      <c r="J189" s="1" t="str">
        <f t="shared" si="11"/>
        <v/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 t="str">
        <f t="shared" si="10"/>
        <v/>
      </c>
      <c r="J190" s="1" t="str">
        <f t="shared" si="11"/>
        <v/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 t="str">
        <f t="shared" si="10"/>
        <v/>
      </c>
      <c r="J191" s="1" t="str">
        <f t="shared" si="11"/>
        <v/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 t="str">
        <f t="shared" si="10"/>
        <v/>
      </c>
      <c r="J192" s="1" t="str">
        <f t="shared" si="11"/>
        <v/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 t="str">
        <f t="shared" si="10"/>
        <v/>
      </c>
      <c r="J193" s="1" t="str">
        <f t="shared" si="11"/>
        <v/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 t="str">
        <f t="shared" si="10"/>
        <v/>
      </c>
      <c r="J194" s="1" t="str">
        <f t="shared" si="11"/>
        <v/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 t="str">
        <f t="shared" si="10"/>
        <v/>
      </c>
      <c r="J195" s="1" t="str">
        <f t="shared" si="11"/>
        <v/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 t="str">
        <f t="shared" si="10"/>
        <v/>
      </c>
      <c r="J196" s="1" t="str">
        <f t="shared" si="11"/>
        <v/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 t="str">
        <f t="shared" ref="I197:I204" si="12">IF(A197="","",ROUND(((B197+C197+D197+E197+F197+G197)*5-(H197*5))/30*100,0))</f>
        <v/>
      </c>
      <c r="J197" s="1" t="str">
        <f t="shared" ref="J197:J204" si="13">IF(A197="","",IF(I197&gt;=75,"Healthy",IF(I197&gt;=55,"Watch","At Risk")))</f>
        <v/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 t="str">
        <f t="shared" si="12"/>
        <v/>
      </c>
      <c r="J198" s="1" t="str">
        <f t="shared" si="13"/>
        <v/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 t="str">
        <f t="shared" si="12"/>
        <v/>
      </c>
      <c r="J199" s="1" t="str">
        <f t="shared" si="13"/>
        <v/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 t="str">
        <f t="shared" si="12"/>
        <v/>
      </c>
      <c r="J200" s="1" t="str">
        <f t="shared" si="13"/>
        <v/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 t="str">
        <f t="shared" si="12"/>
        <v/>
      </c>
      <c r="J201" s="1" t="str">
        <f t="shared" si="13"/>
        <v/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 t="str">
        <f t="shared" si="12"/>
        <v/>
      </c>
      <c r="J202" s="1" t="str">
        <f t="shared" si="13"/>
        <v/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 t="str">
        <f t="shared" si="12"/>
        <v/>
      </c>
      <c r="J203" s="1" t="str">
        <f t="shared" si="13"/>
        <v/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 t="str">
        <f t="shared" si="12"/>
        <v/>
      </c>
      <c r="J204" s="1" t="str">
        <f t="shared" si="13"/>
        <v/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">
    <mergeCell ref="A1:L1"/>
    <mergeCell ref="A2:L2"/>
  </mergeCells>
  <conditionalFormatting sqref="I5:I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B5:G204" xr:uid="{00000000-0002-0000-0600-000000000000}">
      <formula1>1</formula1>
      <formula2>5</formula2>
    </dataValidation>
    <dataValidation sqref="H5:H204" xr:uid="{00000000-0002-0000-0600-000006000000}">
      <formula1>0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04"/>
  <sheetViews>
    <sheetView workbookViewId="0">
      <selection sqref="A1:S1"/>
    </sheetView>
  </sheetViews>
  <sheetFormatPr defaultRowHeight="14"/>
  <cols>
    <col min="1" max="2" width="20" customWidth="1"/>
    <col min="4" max="4" width="13.1640625" customWidth="1"/>
    <col min="5" max="5" width="9.4140625" customWidth="1"/>
    <col min="7" max="7" width="10.4140625" customWidth="1"/>
    <col min="8" max="8" width="11.6640625" customWidth="1"/>
    <col min="9" max="9" width="10.33203125" customWidth="1"/>
    <col min="11" max="11" width="10.75" customWidth="1"/>
    <col min="12" max="12" width="10.33203125" customWidth="1"/>
    <col min="14" max="14" width="9.4140625" customWidth="1"/>
    <col min="15" max="15" width="12.08203125" customWidth="1"/>
    <col min="16" max="16" width="9.4140625" customWidth="1"/>
    <col min="17" max="17" width="13.1640625" customWidth="1"/>
    <col min="18" max="18" width="9.25" customWidth="1"/>
    <col min="19" max="19" width="12" customWidth="1"/>
  </cols>
  <sheetData>
    <row r="1" spans="1:26" ht="21.4" customHeight="1">
      <c r="A1" s="5" t="s">
        <v>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1"/>
      <c r="U1" s="1"/>
      <c r="V1" s="1"/>
      <c r="W1" s="1"/>
      <c r="X1" s="1"/>
      <c r="Y1" s="1"/>
      <c r="Z1" s="1"/>
    </row>
    <row r="2" spans="1:26" ht="14.5">
      <c r="A2" s="6" t="s">
        <v>95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5" customHeight="1">
      <c r="A4" s="2" t="s">
        <v>96</v>
      </c>
      <c r="B4" s="2" t="s">
        <v>97</v>
      </c>
      <c r="C4" s="2" t="s">
        <v>98</v>
      </c>
      <c r="D4" s="2" t="s">
        <v>99</v>
      </c>
      <c r="E4" s="2" t="s">
        <v>100</v>
      </c>
      <c r="F4" s="2" t="s">
        <v>101</v>
      </c>
      <c r="G4" s="2" t="s">
        <v>102</v>
      </c>
      <c r="H4" s="2" t="s">
        <v>103</v>
      </c>
      <c r="I4" s="2" t="s">
        <v>104</v>
      </c>
      <c r="J4" s="2" t="s">
        <v>105</v>
      </c>
      <c r="K4" s="2" t="s">
        <v>106</v>
      </c>
      <c r="L4" s="2" t="s">
        <v>107</v>
      </c>
      <c r="M4" s="2" t="s">
        <v>108</v>
      </c>
      <c r="N4" s="2" t="s">
        <v>109</v>
      </c>
      <c r="O4" s="2" t="s">
        <v>110</v>
      </c>
      <c r="P4" s="2" t="s">
        <v>111</v>
      </c>
      <c r="Q4" s="2" t="s">
        <v>112</v>
      </c>
      <c r="R4" s="2" t="s">
        <v>113</v>
      </c>
      <c r="S4" s="2" t="s">
        <v>114</v>
      </c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/>
      <c r="N5" s="4">
        <f t="shared" ref="N5:N36" si="0">IFERROR(C5/B5,0)</f>
        <v>0</v>
      </c>
      <c r="O5" s="4">
        <f t="shared" ref="O5:O36" si="1">IFERROR(D5/B5,0)</f>
        <v>0</v>
      </c>
      <c r="P5" s="4">
        <f t="shared" ref="P5:P36" si="2">IFERROR(F5/E5,0)</f>
        <v>0</v>
      </c>
      <c r="Q5" s="4">
        <f t="shared" ref="Q5:Q36" si="3">IFERROR(I5/H5,0)</f>
        <v>0</v>
      </c>
      <c r="R5" s="4">
        <f t="shared" ref="R5:R36" si="4">IFERROR(J5/I5,0)</f>
        <v>0</v>
      </c>
      <c r="S5" s="4">
        <f t="shared" ref="S5:S36" si="5">IFERROR(K5/J5,0)</f>
        <v>0</v>
      </c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/>
      <c r="N6" s="4">
        <f t="shared" si="0"/>
        <v>0</v>
      </c>
      <c r="O6" s="4">
        <f t="shared" si="1"/>
        <v>0</v>
      </c>
      <c r="P6" s="4">
        <f t="shared" si="2"/>
        <v>0</v>
      </c>
      <c r="Q6" s="4">
        <f t="shared" si="3"/>
        <v>0</v>
      </c>
      <c r="R6" s="4">
        <f t="shared" si="4"/>
        <v>0</v>
      </c>
      <c r="S6" s="4">
        <f t="shared" si="5"/>
        <v>0</v>
      </c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/>
      <c r="N7" s="4">
        <f t="shared" si="0"/>
        <v>0</v>
      </c>
      <c r="O7" s="4">
        <f t="shared" si="1"/>
        <v>0</v>
      </c>
      <c r="P7" s="4">
        <f t="shared" si="2"/>
        <v>0</v>
      </c>
      <c r="Q7" s="4">
        <f t="shared" si="3"/>
        <v>0</v>
      </c>
      <c r="R7" s="4">
        <f t="shared" si="4"/>
        <v>0</v>
      </c>
      <c r="S7" s="4">
        <f t="shared" si="5"/>
        <v>0</v>
      </c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4">
        <f t="shared" si="0"/>
        <v>0</v>
      </c>
      <c r="O8" s="4">
        <f t="shared" si="1"/>
        <v>0</v>
      </c>
      <c r="P8" s="4">
        <f t="shared" si="2"/>
        <v>0</v>
      </c>
      <c r="Q8" s="4">
        <f t="shared" si="3"/>
        <v>0</v>
      </c>
      <c r="R8" s="4">
        <f t="shared" si="4"/>
        <v>0</v>
      </c>
      <c r="S8" s="4">
        <f t="shared" si="5"/>
        <v>0</v>
      </c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/>
      <c r="N9" s="4">
        <f t="shared" si="0"/>
        <v>0</v>
      </c>
      <c r="O9" s="4">
        <f t="shared" si="1"/>
        <v>0</v>
      </c>
      <c r="P9" s="4">
        <f t="shared" si="2"/>
        <v>0</v>
      </c>
      <c r="Q9" s="4">
        <f t="shared" si="3"/>
        <v>0</v>
      </c>
      <c r="R9" s="4">
        <f t="shared" si="4"/>
        <v>0</v>
      </c>
      <c r="S9" s="4">
        <f t="shared" si="5"/>
        <v>0</v>
      </c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/>
      <c r="N10" s="4">
        <f t="shared" si="0"/>
        <v>0</v>
      </c>
      <c r="O10" s="4">
        <f t="shared" si="1"/>
        <v>0</v>
      </c>
      <c r="P10" s="4">
        <f t="shared" si="2"/>
        <v>0</v>
      </c>
      <c r="Q10" s="4">
        <f t="shared" si="3"/>
        <v>0</v>
      </c>
      <c r="R10" s="4">
        <f t="shared" si="4"/>
        <v>0</v>
      </c>
      <c r="S10" s="4">
        <f t="shared" si="5"/>
        <v>0</v>
      </c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3"/>
      <c r="N11" s="4">
        <f t="shared" si="0"/>
        <v>0</v>
      </c>
      <c r="O11" s="4">
        <f t="shared" si="1"/>
        <v>0</v>
      </c>
      <c r="P11" s="4">
        <f t="shared" si="2"/>
        <v>0</v>
      </c>
      <c r="Q11" s="4">
        <f t="shared" si="3"/>
        <v>0</v>
      </c>
      <c r="R11" s="4">
        <f t="shared" si="4"/>
        <v>0</v>
      </c>
      <c r="S11" s="4">
        <f t="shared" si="5"/>
        <v>0</v>
      </c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/>
      <c r="N12" s="4">
        <f t="shared" si="0"/>
        <v>0</v>
      </c>
      <c r="O12" s="4">
        <f t="shared" si="1"/>
        <v>0</v>
      </c>
      <c r="P12" s="4">
        <f t="shared" si="2"/>
        <v>0</v>
      </c>
      <c r="Q12" s="4">
        <f t="shared" si="3"/>
        <v>0</v>
      </c>
      <c r="R12" s="4">
        <f t="shared" si="4"/>
        <v>0</v>
      </c>
      <c r="S12" s="4">
        <f t="shared" si="5"/>
        <v>0</v>
      </c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4">
        <f t="shared" si="0"/>
        <v>0</v>
      </c>
      <c r="O13" s="4">
        <f t="shared" si="1"/>
        <v>0</v>
      </c>
      <c r="P13" s="4">
        <f t="shared" si="2"/>
        <v>0</v>
      </c>
      <c r="Q13" s="4">
        <f t="shared" si="3"/>
        <v>0</v>
      </c>
      <c r="R13" s="4">
        <f t="shared" si="4"/>
        <v>0</v>
      </c>
      <c r="S13" s="4">
        <f t="shared" si="5"/>
        <v>0</v>
      </c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4">
        <f t="shared" si="0"/>
        <v>0</v>
      </c>
      <c r="O14" s="4">
        <f t="shared" si="1"/>
        <v>0</v>
      </c>
      <c r="P14" s="4">
        <f t="shared" si="2"/>
        <v>0</v>
      </c>
      <c r="Q14" s="4">
        <f t="shared" si="3"/>
        <v>0</v>
      </c>
      <c r="R14" s="4">
        <f t="shared" si="4"/>
        <v>0</v>
      </c>
      <c r="S14" s="4">
        <f t="shared" si="5"/>
        <v>0</v>
      </c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3"/>
      <c r="N15" s="4">
        <f t="shared" si="0"/>
        <v>0</v>
      </c>
      <c r="O15" s="4">
        <f t="shared" si="1"/>
        <v>0</v>
      </c>
      <c r="P15" s="4">
        <f t="shared" si="2"/>
        <v>0</v>
      </c>
      <c r="Q15" s="4">
        <f t="shared" si="3"/>
        <v>0</v>
      </c>
      <c r="R15" s="4">
        <f t="shared" si="4"/>
        <v>0</v>
      </c>
      <c r="S15" s="4">
        <f t="shared" si="5"/>
        <v>0</v>
      </c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"/>
      <c r="N16" s="4">
        <f t="shared" si="0"/>
        <v>0</v>
      </c>
      <c r="O16" s="4">
        <f t="shared" si="1"/>
        <v>0</v>
      </c>
      <c r="P16" s="4">
        <f t="shared" si="2"/>
        <v>0</v>
      </c>
      <c r="Q16" s="4">
        <f t="shared" si="3"/>
        <v>0</v>
      </c>
      <c r="R16" s="4">
        <f t="shared" si="4"/>
        <v>0</v>
      </c>
      <c r="S16" s="4">
        <f t="shared" si="5"/>
        <v>0</v>
      </c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  <c r="N17" s="4">
        <f t="shared" si="0"/>
        <v>0</v>
      </c>
      <c r="O17" s="4">
        <f t="shared" si="1"/>
        <v>0</v>
      </c>
      <c r="P17" s="4">
        <f t="shared" si="2"/>
        <v>0</v>
      </c>
      <c r="Q17" s="4">
        <f t="shared" si="3"/>
        <v>0</v>
      </c>
      <c r="R17" s="4">
        <f t="shared" si="4"/>
        <v>0</v>
      </c>
      <c r="S17" s="4">
        <f t="shared" si="5"/>
        <v>0</v>
      </c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  <c r="N18" s="4">
        <f t="shared" si="0"/>
        <v>0</v>
      </c>
      <c r="O18" s="4">
        <f t="shared" si="1"/>
        <v>0</v>
      </c>
      <c r="P18" s="4">
        <f t="shared" si="2"/>
        <v>0</v>
      </c>
      <c r="Q18" s="4">
        <f t="shared" si="3"/>
        <v>0</v>
      </c>
      <c r="R18" s="4">
        <f t="shared" si="4"/>
        <v>0</v>
      </c>
      <c r="S18" s="4">
        <f t="shared" si="5"/>
        <v>0</v>
      </c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"/>
      <c r="N19" s="4">
        <f t="shared" si="0"/>
        <v>0</v>
      </c>
      <c r="O19" s="4">
        <f t="shared" si="1"/>
        <v>0</v>
      </c>
      <c r="P19" s="4">
        <f t="shared" si="2"/>
        <v>0</v>
      </c>
      <c r="Q19" s="4">
        <f t="shared" si="3"/>
        <v>0</v>
      </c>
      <c r="R19" s="4">
        <f t="shared" si="4"/>
        <v>0</v>
      </c>
      <c r="S19" s="4">
        <f t="shared" si="5"/>
        <v>0</v>
      </c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"/>
      <c r="N20" s="4">
        <f t="shared" si="0"/>
        <v>0</v>
      </c>
      <c r="O20" s="4">
        <f t="shared" si="1"/>
        <v>0</v>
      </c>
      <c r="P20" s="4">
        <f t="shared" si="2"/>
        <v>0</v>
      </c>
      <c r="Q20" s="4">
        <f t="shared" si="3"/>
        <v>0</v>
      </c>
      <c r="R20" s="4">
        <f t="shared" si="4"/>
        <v>0</v>
      </c>
      <c r="S20" s="4">
        <f t="shared" si="5"/>
        <v>0</v>
      </c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"/>
      <c r="N21" s="4">
        <f t="shared" si="0"/>
        <v>0</v>
      </c>
      <c r="O21" s="4">
        <f t="shared" si="1"/>
        <v>0</v>
      </c>
      <c r="P21" s="4">
        <f t="shared" si="2"/>
        <v>0</v>
      </c>
      <c r="Q21" s="4">
        <f t="shared" si="3"/>
        <v>0</v>
      </c>
      <c r="R21" s="4">
        <f t="shared" si="4"/>
        <v>0</v>
      </c>
      <c r="S21" s="4">
        <f t="shared" si="5"/>
        <v>0</v>
      </c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/>
      <c r="N22" s="4">
        <f t="shared" si="0"/>
        <v>0</v>
      </c>
      <c r="O22" s="4">
        <f t="shared" si="1"/>
        <v>0</v>
      </c>
      <c r="P22" s="4">
        <f t="shared" si="2"/>
        <v>0</v>
      </c>
      <c r="Q22" s="4">
        <f t="shared" si="3"/>
        <v>0</v>
      </c>
      <c r="R22" s="4">
        <f t="shared" si="4"/>
        <v>0</v>
      </c>
      <c r="S22" s="4">
        <f t="shared" si="5"/>
        <v>0</v>
      </c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/>
      <c r="N23" s="4">
        <f t="shared" si="0"/>
        <v>0</v>
      </c>
      <c r="O23" s="4">
        <f t="shared" si="1"/>
        <v>0</v>
      </c>
      <c r="P23" s="4">
        <f t="shared" si="2"/>
        <v>0</v>
      </c>
      <c r="Q23" s="4">
        <f t="shared" si="3"/>
        <v>0</v>
      </c>
      <c r="R23" s="4">
        <f t="shared" si="4"/>
        <v>0</v>
      </c>
      <c r="S23" s="4">
        <f t="shared" si="5"/>
        <v>0</v>
      </c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/>
      <c r="N24" s="4">
        <f t="shared" si="0"/>
        <v>0</v>
      </c>
      <c r="O24" s="4">
        <f t="shared" si="1"/>
        <v>0</v>
      </c>
      <c r="P24" s="4">
        <f t="shared" si="2"/>
        <v>0</v>
      </c>
      <c r="Q24" s="4">
        <f t="shared" si="3"/>
        <v>0</v>
      </c>
      <c r="R24" s="4">
        <f t="shared" si="4"/>
        <v>0</v>
      </c>
      <c r="S24" s="4">
        <f t="shared" si="5"/>
        <v>0</v>
      </c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"/>
      <c r="N25" s="4">
        <f t="shared" si="0"/>
        <v>0</v>
      </c>
      <c r="O25" s="4">
        <f t="shared" si="1"/>
        <v>0</v>
      </c>
      <c r="P25" s="4">
        <f t="shared" si="2"/>
        <v>0</v>
      </c>
      <c r="Q25" s="4">
        <f t="shared" si="3"/>
        <v>0</v>
      </c>
      <c r="R25" s="4">
        <f t="shared" si="4"/>
        <v>0</v>
      </c>
      <c r="S25" s="4">
        <f t="shared" si="5"/>
        <v>0</v>
      </c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"/>
      <c r="N26" s="4">
        <f t="shared" si="0"/>
        <v>0</v>
      </c>
      <c r="O26" s="4">
        <f t="shared" si="1"/>
        <v>0</v>
      </c>
      <c r="P26" s="4">
        <f t="shared" si="2"/>
        <v>0</v>
      </c>
      <c r="Q26" s="4">
        <f t="shared" si="3"/>
        <v>0</v>
      </c>
      <c r="R26" s="4">
        <f t="shared" si="4"/>
        <v>0</v>
      </c>
      <c r="S26" s="4">
        <f t="shared" si="5"/>
        <v>0</v>
      </c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"/>
      <c r="N27" s="4">
        <f t="shared" si="0"/>
        <v>0</v>
      </c>
      <c r="O27" s="4">
        <f t="shared" si="1"/>
        <v>0</v>
      </c>
      <c r="P27" s="4">
        <f t="shared" si="2"/>
        <v>0</v>
      </c>
      <c r="Q27" s="4">
        <f t="shared" si="3"/>
        <v>0</v>
      </c>
      <c r="R27" s="4">
        <f t="shared" si="4"/>
        <v>0</v>
      </c>
      <c r="S27" s="4">
        <f t="shared" si="5"/>
        <v>0</v>
      </c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"/>
      <c r="N28" s="4">
        <f t="shared" si="0"/>
        <v>0</v>
      </c>
      <c r="O28" s="4">
        <f t="shared" si="1"/>
        <v>0</v>
      </c>
      <c r="P28" s="4">
        <f t="shared" si="2"/>
        <v>0</v>
      </c>
      <c r="Q28" s="4">
        <f t="shared" si="3"/>
        <v>0</v>
      </c>
      <c r="R28" s="4">
        <f t="shared" si="4"/>
        <v>0</v>
      </c>
      <c r="S28" s="4">
        <f t="shared" si="5"/>
        <v>0</v>
      </c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  <c r="N29" s="4">
        <f t="shared" si="0"/>
        <v>0</v>
      </c>
      <c r="O29" s="4">
        <f t="shared" si="1"/>
        <v>0</v>
      </c>
      <c r="P29" s="4">
        <f t="shared" si="2"/>
        <v>0</v>
      </c>
      <c r="Q29" s="4">
        <f t="shared" si="3"/>
        <v>0</v>
      </c>
      <c r="R29" s="4">
        <f t="shared" si="4"/>
        <v>0</v>
      </c>
      <c r="S29" s="4">
        <f t="shared" si="5"/>
        <v>0</v>
      </c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4">
        <f t="shared" si="0"/>
        <v>0</v>
      </c>
      <c r="O30" s="4">
        <f t="shared" si="1"/>
        <v>0</v>
      </c>
      <c r="P30" s="4">
        <f t="shared" si="2"/>
        <v>0</v>
      </c>
      <c r="Q30" s="4">
        <f t="shared" si="3"/>
        <v>0</v>
      </c>
      <c r="R30" s="4">
        <f t="shared" si="4"/>
        <v>0</v>
      </c>
      <c r="S30" s="4">
        <f t="shared" si="5"/>
        <v>0</v>
      </c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4">
        <f t="shared" si="0"/>
        <v>0</v>
      </c>
      <c r="O31" s="4">
        <f t="shared" si="1"/>
        <v>0</v>
      </c>
      <c r="P31" s="4">
        <f t="shared" si="2"/>
        <v>0</v>
      </c>
      <c r="Q31" s="4">
        <f t="shared" si="3"/>
        <v>0</v>
      </c>
      <c r="R31" s="4">
        <f t="shared" si="4"/>
        <v>0</v>
      </c>
      <c r="S31" s="4">
        <f t="shared" si="5"/>
        <v>0</v>
      </c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/>
      <c r="N32" s="4">
        <f t="shared" si="0"/>
        <v>0</v>
      </c>
      <c r="O32" s="4">
        <f t="shared" si="1"/>
        <v>0</v>
      </c>
      <c r="P32" s="4">
        <f t="shared" si="2"/>
        <v>0</v>
      </c>
      <c r="Q32" s="4">
        <f t="shared" si="3"/>
        <v>0</v>
      </c>
      <c r="R32" s="4">
        <f t="shared" si="4"/>
        <v>0</v>
      </c>
      <c r="S32" s="4">
        <f t="shared" si="5"/>
        <v>0</v>
      </c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/>
      <c r="N33" s="4">
        <f t="shared" si="0"/>
        <v>0</v>
      </c>
      <c r="O33" s="4">
        <f t="shared" si="1"/>
        <v>0</v>
      </c>
      <c r="P33" s="4">
        <f t="shared" si="2"/>
        <v>0</v>
      </c>
      <c r="Q33" s="4">
        <f t="shared" si="3"/>
        <v>0</v>
      </c>
      <c r="R33" s="4">
        <f t="shared" si="4"/>
        <v>0</v>
      </c>
      <c r="S33" s="4">
        <f t="shared" si="5"/>
        <v>0</v>
      </c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4">
        <f t="shared" si="0"/>
        <v>0</v>
      </c>
      <c r="O34" s="4">
        <f t="shared" si="1"/>
        <v>0</v>
      </c>
      <c r="P34" s="4">
        <f t="shared" si="2"/>
        <v>0</v>
      </c>
      <c r="Q34" s="4">
        <f t="shared" si="3"/>
        <v>0</v>
      </c>
      <c r="R34" s="4">
        <f t="shared" si="4"/>
        <v>0</v>
      </c>
      <c r="S34" s="4">
        <f t="shared" si="5"/>
        <v>0</v>
      </c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  <c r="N35" s="4">
        <f t="shared" si="0"/>
        <v>0</v>
      </c>
      <c r="O35" s="4">
        <f t="shared" si="1"/>
        <v>0</v>
      </c>
      <c r="P35" s="4">
        <f t="shared" si="2"/>
        <v>0</v>
      </c>
      <c r="Q35" s="4">
        <f t="shared" si="3"/>
        <v>0</v>
      </c>
      <c r="R35" s="4">
        <f t="shared" si="4"/>
        <v>0</v>
      </c>
      <c r="S35" s="4">
        <f t="shared" si="5"/>
        <v>0</v>
      </c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/>
      <c r="N36" s="4">
        <f t="shared" si="0"/>
        <v>0</v>
      </c>
      <c r="O36" s="4">
        <f t="shared" si="1"/>
        <v>0</v>
      </c>
      <c r="P36" s="4">
        <f t="shared" si="2"/>
        <v>0</v>
      </c>
      <c r="Q36" s="4">
        <f t="shared" si="3"/>
        <v>0</v>
      </c>
      <c r="R36" s="4">
        <f t="shared" si="4"/>
        <v>0</v>
      </c>
      <c r="S36" s="4">
        <f t="shared" si="5"/>
        <v>0</v>
      </c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/>
      <c r="N37" s="4">
        <f t="shared" ref="N37:N68" si="6">IFERROR(C37/B37,0)</f>
        <v>0</v>
      </c>
      <c r="O37" s="4">
        <f t="shared" ref="O37:O68" si="7">IFERROR(D37/B37,0)</f>
        <v>0</v>
      </c>
      <c r="P37" s="4">
        <f t="shared" ref="P37:P68" si="8">IFERROR(F37/E37,0)</f>
        <v>0</v>
      </c>
      <c r="Q37" s="4">
        <f t="shared" ref="Q37:Q68" si="9">IFERROR(I37/H37,0)</f>
        <v>0</v>
      </c>
      <c r="R37" s="4">
        <f t="shared" ref="R37:R68" si="10">IFERROR(J37/I37,0)</f>
        <v>0</v>
      </c>
      <c r="S37" s="4">
        <f t="shared" ref="S37:S68" si="11">IFERROR(K37/J37,0)</f>
        <v>0</v>
      </c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/>
      <c r="N38" s="4">
        <f t="shared" si="6"/>
        <v>0</v>
      </c>
      <c r="O38" s="4">
        <f t="shared" si="7"/>
        <v>0</v>
      </c>
      <c r="P38" s="4">
        <f t="shared" si="8"/>
        <v>0</v>
      </c>
      <c r="Q38" s="4">
        <f t="shared" si="9"/>
        <v>0</v>
      </c>
      <c r="R38" s="4">
        <f t="shared" si="10"/>
        <v>0</v>
      </c>
      <c r="S38" s="4">
        <f t="shared" si="11"/>
        <v>0</v>
      </c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/>
      <c r="N39" s="4">
        <f t="shared" si="6"/>
        <v>0</v>
      </c>
      <c r="O39" s="4">
        <f t="shared" si="7"/>
        <v>0</v>
      </c>
      <c r="P39" s="4">
        <f t="shared" si="8"/>
        <v>0</v>
      </c>
      <c r="Q39" s="4">
        <f t="shared" si="9"/>
        <v>0</v>
      </c>
      <c r="R39" s="4">
        <f t="shared" si="10"/>
        <v>0</v>
      </c>
      <c r="S39" s="4">
        <f t="shared" si="11"/>
        <v>0</v>
      </c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"/>
      <c r="N40" s="4">
        <f t="shared" si="6"/>
        <v>0</v>
      </c>
      <c r="O40" s="4">
        <f t="shared" si="7"/>
        <v>0</v>
      </c>
      <c r="P40" s="4">
        <f t="shared" si="8"/>
        <v>0</v>
      </c>
      <c r="Q40" s="4">
        <f t="shared" si="9"/>
        <v>0</v>
      </c>
      <c r="R40" s="4">
        <f t="shared" si="10"/>
        <v>0</v>
      </c>
      <c r="S40" s="4">
        <f t="shared" si="11"/>
        <v>0</v>
      </c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4">
        <f t="shared" si="6"/>
        <v>0</v>
      </c>
      <c r="O41" s="4">
        <f t="shared" si="7"/>
        <v>0</v>
      </c>
      <c r="P41" s="4">
        <f t="shared" si="8"/>
        <v>0</v>
      </c>
      <c r="Q41" s="4">
        <f t="shared" si="9"/>
        <v>0</v>
      </c>
      <c r="R41" s="4">
        <f t="shared" si="10"/>
        <v>0</v>
      </c>
      <c r="S41" s="4">
        <f t="shared" si="11"/>
        <v>0</v>
      </c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/>
      <c r="N42" s="4">
        <f t="shared" si="6"/>
        <v>0</v>
      </c>
      <c r="O42" s="4">
        <f t="shared" si="7"/>
        <v>0</v>
      </c>
      <c r="P42" s="4">
        <f t="shared" si="8"/>
        <v>0</v>
      </c>
      <c r="Q42" s="4">
        <f t="shared" si="9"/>
        <v>0</v>
      </c>
      <c r="R42" s="4">
        <f t="shared" si="10"/>
        <v>0</v>
      </c>
      <c r="S42" s="4">
        <f t="shared" si="11"/>
        <v>0</v>
      </c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/>
      <c r="N43" s="4">
        <f t="shared" si="6"/>
        <v>0</v>
      </c>
      <c r="O43" s="4">
        <f t="shared" si="7"/>
        <v>0</v>
      </c>
      <c r="P43" s="4">
        <f t="shared" si="8"/>
        <v>0</v>
      </c>
      <c r="Q43" s="4">
        <f t="shared" si="9"/>
        <v>0</v>
      </c>
      <c r="R43" s="4">
        <f t="shared" si="10"/>
        <v>0</v>
      </c>
      <c r="S43" s="4">
        <f t="shared" si="11"/>
        <v>0</v>
      </c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4">
        <f t="shared" si="6"/>
        <v>0</v>
      </c>
      <c r="O44" s="4">
        <f t="shared" si="7"/>
        <v>0</v>
      </c>
      <c r="P44" s="4">
        <f t="shared" si="8"/>
        <v>0</v>
      </c>
      <c r="Q44" s="4">
        <f t="shared" si="9"/>
        <v>0</v>
      </c>
      <c r="R44" s="4">
        <f t="shared" si="10"/>
        <v>0</v>
      </c>
      <c r="S44" s="4">
        <f t="shared" si="11"/>
        <v>0</v>
      </c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4">
        <f t="shared" si="6"/>
        <v>0</v>
      </c>
      <c r="O45" s="4">
        <f t="shared" si="7"/>
        <v>0</v>
      </c>
      <c r="P45" s="4">
        <f t="shared" si="8"/>
        <v>0</v>
      </c>
      <c r="Q45" s="4">
        <f t="shared" si="9"/>
        <v>0</v>
      </c>
      <c r="R45" s="4">
        <f t="shared" si="10"/>
        <v>0</v>
      </c>
      <c r="S45" s="4">
        <f t="shared" si="11"/>
        <v>0</v>
      </c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/>
      <c r="N46" s="4">
        <f t="shared" si="6"/>
        <v>0</v>
      </c>
      <c r="O46" s="4">
        <f t="shared" si="7"/>
        <v>0</v>
      </c>
      <c r="P46" s="4">
        <f t="shared" si="8"/>
        <v>0</v>
      </c>
      <c r="Q46" s="4">
        <f t="shared" si="9"/>
        <v>0</v>
      </c>
      <c r="R46" s="4">
        <f t="shared" si="10"/>
        <v>0</v>
      </c>
      <c r="S46" s="4">
        <f t="shared" si="11"/>
        <v>0</v>
      </c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3"/>
      <c r="N47" s="4">
        <f t="shared" si="6"/>
        <v>0</v>
      </c>
      <c r="O47" s="4">
        <f t="shared" si="7"/>
        <v>0</v>
      </c>
      <c r="P47" s="4">
        <f t="shared" si="8"/>
        <v>0</v>
      </c>
      <c r="Q47" s="4">
        <f t="shared" si="9"/>
        <v>0</v>
      </c>
      <c r="R47" s="4">
        <f t="shared" si="10"/>
        <v>0</v>
      </c>
      <c r="S47" s="4">
        <f t="shared" si="11"/>
        <v>0</v>
      </c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"/>
      <c r="N48" s="4">
        <f t="shared" si="6"/>
        <v>0</v>
      </c>
      <c r="O48" s="4">
        <f t="shared" si="7"/>
        <v>0</v>
      </c>
      <c r="P48" s="4">
        <f t="shared" si="8"/>
        <v>0</v>
      </c>
      <c r="Q48" s="4">
        <f t="shared" si="9"/>
        <v>0</v>
      </c>
      <c r="R48" s="4">
        <f t="shared" si="10"/>
        <v>0</v>
      </c>
      <c r="S48" s="4">
        <f t="shared" si="11"/>
        <v>0</v>
      </c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"/>
      <c r="N49" s="4">
        <f t="shared" si="6"/>
        <v>0</v>
      </c>
      <c r="O49" s="4">
        <f t="shared" si="7"/>
        <v>0</v>
      </c>
      <c r="P49" s="4">
        <f t="shared" si="8"/>
        <v>0</v>
      </c>
      <c r="Q49" s="4">
        <f t="shared" si="9"/>
        <v>0</v>
      </c>
      <c r="R49" s="4">
        <f t="shared" si="10"/>
        <v>0</v>
      </c>
      <c r="S49" s="4">
        <f t="shared" si="11"/>
        <v>0</v>
      </c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"/>
      <c r="N50" s="4">
        <f t="shared" si="6"/>
        <v>0</v>
      </c>
      <c r="O50" s="4">
        <f t="shared" si="7"/>
        <v>0</v>
      </c>
      <c r="P50" s="4">
        <f t="shared" si="8"/>
        <v>0</v>
      </c>
      <c r="Q50" s="4">
        <f t="shared" si="9"/>
        <v>0</v>
      </c>
      <c r="R50" s="4">
        <f t="shared" si="10"/>
        <v>0</v>
      </c>
      <c r="S50" s="4">
        <f t="shared" si="11"/>
        <v>0</v>
      </c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3"/>
      <c r="N51" s="4">
        <f t="shared" si="6"/>
        <v>0</v>
      </c>
      <c r="O51" s="4">
        <f t="shared" si="7"/>
        <v>0</v>
      </c>
      <c r="P51" s="4">
        <f t="shared" si="8"/>
        <v>0</v>
      </c>
      <c r="Q51" s="4">
        <f t="shared" si="9"/>
        <v>0</v>
      </c>
      <c r="R51" s="4">
        <f t="shared" si="10"/>
        <v>0</v>
      </c>
      <c r="S51" s="4">
        <f t="shared" si="11"/>
        <v>0</v>
      </c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"/>
      <c r="N52" s="4">
        <f t="shared" si="6"/>
        <v>0</v>
      </c>
      <c r="O52" s="4">
        <f t="shared" si="7"/>
        <v>0</v>
      </c>
      <c r="P52" s="4">
        <f t="shared" si="8"/>
        <v>0</v>
      </c>
      <c r="Q52" s="4">
        <f t="shared" si="9"/>
        <v>0</v>
      </c>
      <c r="R52" s="4">
        <f t="shared" si="10"/>
        <v>0</v>
      </c>
      <c r="S52" s="4">
        <f t="shared" si="11"/>
        <v>0</v>
      </c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"/>
      <c r="N53" s="4">
        <f t="shared" si="6"/>
        <v>0</v>
      </c>
      <c r="O53" s="4">
        <f t="shared" si="7"/>
        <v>0</v>
      </c>
      <c r="P53" s="4">
        <f t="shared" si="8"/>
        <v>0</v>
      </c>
      <c r="Q53" s="4">
        <f t="shared" si="9"/>
        <v>0</v>
      </c>
      <c r="R53" s="4">
        <f t="shared" si="10"/>
        <v>0</v>
      </c>
      <c r="S53" s="4">
        <f t="shared" si="11"/>
        <v>0</v>
      </c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/>
      <c r="N54" s="4">
        <f t="shared" si="6"/>
        <v>0</v>
      </c>
      <c r="O54" s="4">
        <f t="shared" si="7"/>
        <v>0</v>
      </c>
      <c r="P54" s="4">
        <f t="shared" si="8"/>
        <v>0</v>
      </c>
      <c r="Q54" s="4">
        <f t="shared" si="9"/>
        <v>0</v>
      </c>
      <c r="R54" s="4">
        <f t="shared" si="10"/>
        <v>0</v>
      </c>
      <c r="S54" s="4">
        <f t="shared" si="11"/>
        <v>0</v>
      </c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"/>
      <c r="N55" s="4">
        <f t="shared" si="6"/>
        <v>0</v>
      </c>
      <c r="O55" s="4">
        <f t="shared" si="7"/>
        <v>0</v>
      </c>
      <c r="P55" s="4">
        <f t="shared" si="8"/>
        <v>0</v>
      </c>
      <c r="Q55" s="4">
        <f t="shared" si="9"/>
        <v>0</v>
      </c>
      <c r="R55" s="4">
        <f t="shared" si="10"/>
        <v>0</v>
      </c>
      <c r="S55" s="4">
        <f t="shared" si="11"/>
        <v>0</v>
      </c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4">
        <f t="shared" si="6"/>
        <v>0</v>
      </c>
      <c r="O56" s="4">
        <f t="shared" si="7"/>
        <v>0</v>
      </c>
      <c r="P56" s="4">
        <f t="shared" si="8"/>
        <v>0</v>
      </c>
      <c r="Q56" s="4">
        <f t="shared" si="9"/>
        <v>0</v>
      </c>
      <c r="R56" s="4">
        <f t="shared" si="10"/>
        <v>0</v>
      </c>
      <c r="S56" s="4">
        <f t="shared" si="11"/>
        <v>0</v>
      </c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4">
        <f t="shared" si="6"/>
        <v>0</v>
      </c>
      <c r="O57" s="4">
        <f t="shared" si="7"/>
        <v>0</v>
      </c>
      <c r="P57" s="4">
        <f t="shared" si="8"/>
        <v>0</v>
      </c>
      <c r="Q57" s="4">
        <f t="shared" si="9"/>
        <v>0</v>
      </c>
      <c r="R57" s="4">
        <f t="shared" si="10"/>
        <v>0</v>
      </c>
      <c r="S57" s="4">
        <f t="shared" si="11"/>
        <v>0</v>
      </c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4">
        <f t="shared" si="6"/>
        <v>0</v>
      </c>
      <c r="O58" s="4">
        <f t="shared" si="7"/>
        <v>0</v>
      </c>
      <c r="P58" s="4">
        <f t="shared" si="8"/>
        <v>0</v>
      </c>
      <c r="Q58" s="4">
        <f t="shared" si="9"/>
        <v>0</v>
      </c>
      <c r="R58" s="4">
        <f t="shared" si="10"/>
        <v>0</v>
      </c>
      <c r="S58" s="4">
        <f t="shared" si="11"/>
        <v>0</v>
      </c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4">
        <f t="shared" si="6"/>
        <v>0</v>
      </c>
      <c r="O59" s="4">
        <f t="shared" si="7"/>
        <v>0</v>
      </c>
      <c r="P59" s="4">
        <f t="shared" si="8"/>
        <v>0</v>
      </c>
      <c r="Q59" s="4">
        <f t="shared" si="9"/>
        <v>0</v>
      </c>
      <c r="R59" s="4">
        <f t="shared" si="10"/>
        <v>0</v>
      </c>
      <c r="S59" s="4">
        <f t="shared" si="11"/>
        <v>0</v>
      </c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/>
      <c r="N60" s="4">
        <f t="shared" si="6"/>
        <v>0</v>
      </c>
      <c r="O60" s="4">
        <f t="shared" si="7"/>
        <v>0</v>
      </c>
      <c r="P60" s="4">
        <f t="shared" si="8"/>
        <v>0</v>
      </c>
      <c r="Q60" s="4">
        <f t="shared" si="9"/>
        <v>0</v>
      </c>
      <c r="R60" s="4">
        <f t="shared" si="10"/>
        <v>0</v>
      </c>
      <c r="S60" s="4">
        <f t="shared" si="11"/>
        <v>0</v>
      </c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/>
      <c r="N61" s="4">
        <f t="shared" si="6"/>
        <v>0</v>
      </c>
      <c r="O61" s="4">
        <f t="shared" si="7"/>
        <v>0</v>
      </c>
      <c r="P61" s="4">
        <f t="shared" si="8"/>
        <v>0</v>
      </c>
      <c r="Q61" s="4">
        <f t="shared" si="9"/>
        <v>0</v>
      </c>
      <c r="R61" s="4">
        <f t="shared" si="10"/>
        <v>0</v>
      </c>
      <c r="S61" s="4">
        <f t="shared" si="11"/>
        <v>0</v>
      </c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4">
        <f t="shared" si="6"/>
        <v>0</v>
      </c>
      <c r="O62" s="4">
        <f t="shared" si="7"/>
        <v>0</v>
      </c>
      <c r="P62" s="4">
        <f t="shared" si="8"/>
        <v>0</v>
      </c>
      <c r="Q62" s="4">
        <f t="shared" si="9"/>
        <v>0</v>
      </c>
      <c r="R62" s="4">
        <f t="shared" si="10"/>
        <v>0</v>
      </c>
      <c r="S62" s="4">
        <f t="shared" si="11"/>
        <v>0</v>
      </c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4">
        <f t="shared" si="6"/>
        <v>0</v>
      </c>
      <c r="O63" s="4">
        <f t="shared" si="7"/>
        <v>0</v>
      </c>
      <c r="P63" s="4">
        <f t="shared" si="8"/>
        <v>0</v>
      </c>
      <c r="Q63" s="4">
        <f t="shared" si="9"/>
        <v>0</v>
      </c>
      <c r="R63" s="4">
        <f t="shared" si="10"/>
        <v>0</v>
      </c>
      <c r="S63" s="4">
        <f t="shared" si="11"/>
        <v>0</v>
      </c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4">
        <f t="shared" si="6"/>
        <v>0</v>
      </c>
      <c r="O64" s="4">
        <f t="shared" si="7"/>
        <v>0</v>
      </c>
      <c r="P64" s="4">
        <f t="shared" si="8"/>
        <v>0</v>
      </c>
      <c r="Q64" s="4">
        <f t="shared" si="9"/>
        <v>0</v>
      </c>
      <c r="R64" s="4">
        <f t="shared" si="10"/>
        <v>0</v>
      </c>
      <c r="S64" s="4">
        <f t="shared" si="11"/>
        <v>0</v>
      </c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4">
        <f t="shared" si="6"/>
        <v>0</v>
      </c>
      <c r="O65" s="4">
        <f t="shared" si="7"/>
        <v>0</v>
      </c>
      <c r="P65" s="4">
        <f t="shared" si="8"/>
        <v>0</v>
      </c>
      <c r="Q65" s="4">
        <f t="shared" si="9"/>
        <v>0</v>
      </c>
      <c r="R65" s="4">
        <f t="shared" si="10"/>
        <v>0</v>
      </c>
      <c r="S65" s="4">
        <f t="shared" si="11"/>
        <v>0</v>
      </c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4">
        <f t="shared" si="6"/>
        <v>0</v>
      </c>
      <c r="O66" s="4">
        <f t="shared" si="7"/>
        <v>0</v>
      </c>
      <c r="P66" s="4">
        <f t="shared" si="8"/>
        <v>0</v>
      </c>
      <c r="Q66" s="4">
        <f t="shared" si="9"/>
        <v>0</v>
      </c>
      <c r="R66" s="4">
        <f t="shared" si="10"/>
        <v>0</v>
      </c>
      <c r="S66" s="4">
        <f t="shared" si="11"/>
        <v>0</v>
      </c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4">
        <f t="shared" si="6"/>
        <v>0</v>
      </c>
      <c r="O67" s="4">
        <f t="shared" si="7"/>
        <v>0</v>
      </c>
      <c r="P67" s="4">
        <f t="shared" si="8"/>
        <v>0</v>
      </c>
      <c r="Q67" s="4">
        <f t="shared" si="9"/>
        <v>0</v>
      </c>
      <c r="R67" s="4">
        <f t="shared" si="10"/>
        <v>0</v>
      </c>
      <c r="S67" s="4">
        <f t="shared" si="11"/>
        <v>0</v>
      </c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4">
        <f t="shared" si="6"/>
        <v>0</v>
      </c>
      <c r="O68" s="4">
        <f t="shared" si="7"/>
        <v>0</v>
      </c>
      <c r="P68" s="4">
        <f t="shared" si="8"/>
        <v>0</v>
      </c>
      <c r="Q68" s="4">
        <f t="shared" si="9"/>
        <v>0</v>
      </c>
      <c r="R68" s="4">
        <f t="shared" si="10"/>
        <v>0</v>
      </c>
      <c r="S68" s="4">
        <f t="shared" si="11"/>
        <v>0</v>
      </c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4">
        <f t="shared" ref="N69:N100" si="12">IFERROR(C69/B69,0)</f>
        <v>0</v>
      </c>
      <c r="O69" s="4">
        <f t="shared" ref="O69:O100" si="13">IFERROR(D69/B69,0)</f>
        <v>0</v>
      </c>
      <c r="P69" s="4">
        <f t="shared" ref="P69:P100" si="14">IFERROR(F69/E69,0)</f>
        <v>0</v>
      </c>
      <c r="Q69" s="4">
        <f t="shared" ref="Q69:Q100" si="15">IFERROR(I69/H69,0)</f>
        <v>0</v>
      </c>
      <c r="R69" s="4">
        <f t="shared" ref="R69:R100" si="16">IFERROR(J69/I69,0)</f>
        <v>0</v>
      </c>
      <c r="S69" s="4">
        <f t="shared" ref="S69:S100" si="17">IFERROR(K69/J69,0)</f>
        <v>0</v>
      </c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4">
        <f t="shared" si="12"/>
        <v>0</v>
      </c>
      <c r="O70" s="4">
        <f t="shared" si="13"/>
        <v>0</v>
      </c>
      <c r="P70" s="4">
        <f t="shared" si="14"/>
        <v>0</v>
      </c>
      <c r="Q70" s="4">
        <f t="shared" si="15"/>
        <v>0</v>
      </c>
      <c r="R70" s="4">
        <f t="shared" si="16"/>
        <v>0</v>
      </c>
      <c r="S70" s="4">
        <f t="shared" si="17"/>
        <v>0</v>
      </c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4">
        <f t="shared" si="12"/>
        <v>0</v>
      </c>
      <c r="O71" s="4">
        <f t="shared" si="13"/>
        <v>0</v>
      </c>
      <c r="P71" s="4">
        <f t="shared" si="14"/>
        <v>0</v>
      </c>
      <c r="Q71" s="4">
        <f t="shared" si="15"/>
        <v>0</v>
      </c>
      <c r="R71" s="4">
        <f t="shared" si="16"/>
        <v>0</v>
      </c>
      <c r="S71" s="4">
        <f t="shared" si="17"/>
        <v>0</v>
      </c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4">
        <f t="shared" si="12"/>
        <v>0</v>
      </c>
      <c r="O72" s="4">
        <f t="shared" si="13"/>
        <v>0</v>
      </c>
      <c r="P72" s="4">
        <f t="shared" si="14"/>
        <v>0</v>
      </c>
      <c r="Q72" s="4">
        <f t="shared" si="15"/>
        <v>0</v>
      </c>
      <c r="R72" s="4">
        <f t="shared" si="16"/>
        <v>0</v>
      </c>
      <c r="S72" s="4">
        <f t="shared" si="17"/>
        <v>0</v>
      </c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4">
        <f t="shared" si="12"/>
        <v>0</v>
      </c>
      <c r="O73" s="4">
        <f t="shared" si="13"/>
        <v>0</v>
      </c>
      <c r="P73" s="4">
        <f t="shared" si="14"/>
        <v>0</v>
      </c>
      <c r="Q73" s="4">
        <f t="shared" si="15"/>
        <v>0</v>
      </c>
      <c r="R73" s="4">
        <f t="shared" si="16"/>
        <v>0</v>
      </c>
      <c r="S73" s="4">
        <f t="shared" si="17"/>
        <v>0</v>
      </c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/>
      <c r="N74" s="4">
        <f t="shared" si="12"/>
        <v>0</v>
      </c>
      <c r="O74" s="4">
        <f t="shared" si="13"/>
        <v>0</v>
      </c>
      <c r="P74" s="4">
        <f t="shared" si="14"/>
        <v>0</v>
      </c>
      <c r="Q74" s="4">
        <f t="shared" si="15"/>
        <v>0</v>
      </c>
      <c r="R74" s="4">
        <f t="shared" si="16"/>
        <v>0</v>
      </c>
      <c r="S74" s="4">
        <f t="shared" si="17"/>
        <v>0</v>
      </c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/>
      <c r="N75" s="4">
        <f t="shared" si="12"/>
        <v>0</v>
      </c>
      <c r="O75" s="4">
        <f t="shared" si="13"/>
        <v>0</v>
      </c>
      <c r="P75" s="4">
        <f t="shared" si="14"/>
        <v>0</v>
      </c>
      <c r="Q75" s="4">
        <f t="shared" si="15"/>
        <v>0</v>
      </c>
      <c r="R75" s="4">
        <f t="shared" si="16"/>
        <v>0</v>
      </c>
      <c r="S75" s="4">
        <f t="shared" si="17"/>
        <v>0</v>
      </c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/>
      <c r="N76" s="4">
        <f t="shared" si="12"/>
        <v>0</v>
      </c>
      <c r="O76" s="4">
        <f t="shared" si="13"/>
        <v>0</v>
      </c>
      <c r="P76" s="4">
        <f t="shared" si="14"/>
        <v>0</v>
      </c>
      <c r="Q76" s="4">
        <f t="shared" si="15"/>
        <v>0</v>
      </c>
      <c r="R76" s="4">
        <f t="shared" si="16"/>
        <v>0</v>
      </c>
      <c r="S76" s="4">
        <f t="shared" si="17"/>
        <v>0</v>
      </c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/>
      <c r="N77" s="4">
        <f t="shared" si="12"/>
        <v>0</v>
      </c>
      <c r="O77" s="4">
        <f t="shared" si="13"/>
        <v>0</v>
      </c>
      <c r="P77" s="4">
        <f t="shared" si="14"/>
        <v>0</v>
      </c>
      <c r="Q77" s="4">
        <f t="shared" si="15"/>
        <v>0</v>
      </c>
      <c r="R77" s="4">
        <f t="shared" si="16"/>
        <v>0</v>
      </c>
      <c r="S77" s="4">
        <f t="shared" si="17"/>
        <v>0</v>
      </c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4">
        <f t="shared" si="12"/>
        <v>0</v>
      </c>
      <c r="O78" s="4">
        <f t="shared" si="13"/>
        <v>0</v>
      </c>
      <c r="P78" s="4">
        <f t="shared" si="14"/>
        <v>0</v>
      </c>
      <c r="Q78" s="4">
        <f t="shared" si="15"/>
        <v>0</v>
      </c>
      <c r="R78" s="4">
        <f t="shared" si="16"/>
        <v>0</v>
      </c>
      <c r="S78" s="4">
        <f t="shared" si="17"/>
        <v>0</v>
      </c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4">
        <f t="shared" si="12"/>
        <v>0</v>
      </c>
      <c r="O79" s="4">
        <f t="shared" si="13"/>
        <v>0</v>
      </c>
      <c r="P79" s="4">
        <f t="shared" si="14"/>
        <v>0</v>
      </c>
      <c r="Q79" s="4">
        <f t="shared" si="15"/>
        <v>0</v>
      </c>
      <c r="R79" s="4">
        <f t="shared" si="16"/>
        <v>0</v>
      </c>
      <c r="S79" s="4">
        <f t="shared" si="17"/>
        <v>0</v>
      </c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4">
        <f t="shared" si="12"/>
        <v>0</v>
      </c>
      <c r="O80" s="4">
        <f t="shared" si="13"/>
        <v>0</v>
      </c>
      <c r="P80" s="4">
        <f t="shared" si="14"/>
        <v>0</v>
      </c>
      <c r="Q80" s="4">
        <f t="shared" si="15"/>
        <v>0</v>
      </c>
      <c r="R80" s="4">
        <f t="shared" si="16"/>
        <v>0</v>
      </c>
      <c r="S80" s="4">
        <f t="shared" si="17"/>
        <v>0</v>
      </c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4">
        <f t="shared" si="12"/>
        <v>0</v>
      </c>
      <c r="O81" s="4">
        <f t="shared" si="13"/>
        <v>0</v>
      </c>
      <c r="P81" s="4">
        <f t="shared" si="14"/>
        <v>0</v>
      </c>
      <c r="Q81" s="4">
        <f t="shared" si="15"/>
        <v>0</v>
      </c>
      <c r="R81" s="4">
        <f t="shared" si="16"/>
        <v>0</v>
      </c>
      <c r="S81" s="4">
        <f t="shared" si="17"/>
        <v>0</v>
      </c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4">
        <f t="shared" si="12"/>
        <v>0</v>
      </c>
      <c r="O82" s="4">
        <f t="shared" si="13"/>
        <v>0</v>
      </c>
      <c r="P82" s="4">
        <f t="shared" si="14"/>
        <v>0</v>
      </c>
      <c r="Q82" s="4">
        <f t="shared" si="15"/>
        <v>0</v>
      </c>
      <c r="R82" s="4">
        <f t="shared" si="16"/>
        <v>0</v>
      </c>
      <c r="S82" s="4">
        <f t="shared" si="17"/>
        <v>0</v>
      </c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4">
        <f t="shared" si="12"/>
        <v>0</v>
      </c>
      <c r="O83" s="4">
        <f t="shared" si="13"/>
        <v>0</v>
      </c>
      <c r="P83" s="4">
        <f t="shared" si="14"/>
        <v>0</v>
      </c>
      <c r="Q83" s="4">
        <f t="shared" si="15"/>
        <v>0</v>
      </c>
      <c r="R83" s="4">
        <f t="shared" si="16"/>
        <v>0</v>
      </c>
      <c r="S83" s="4">
        <f t="shared" si="17"/>
        <v>0</v>
      </c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4">
        <f t="shared" si="12"/>
        <v>0</v>
      </c>
      <c r="O84" s="4">
        <f t="shared" si="13"/>
        <v>0</v>
      </c>
      <c r="P84" s="4">
        <f t="shared" si="14"/>
        <v>0</v>
      </c>
      <c r="Q84" s="4">
        <f t="shared" si="15"/>
        <v>0</v>
      </c>
      <c r="R84" s="4">
        <f t="shared" si="16"/>
        <v>0</v>
      </c>
      <c r="S84" s="4">
        <f t="shared" si="17"/>
        <v>0</v>
      </c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4">
        <f t="shared" si="12"/>
        <v>0</v>
      </c>
      <c r="O85" s="4">
        <f t="shared" si="13"/>
        <v>0</v>
      </c>
      <c r="P85" s="4">
        <f t="shared" si="14"/>
        <v>0</v>
      </c>
      <c r="Q85" s="4">
        <f t="shared" si="15"/>
        <v>0</v>
      </c>
      <c r="R85" s="4">
        <f t="shared" si="16"/>
        <v>0</v>
      </c>
      <c r="S85" s="4">
        <f t="shared" si="17"/>
        <v>0</v>
      </c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4">
        <f t="shared" si="12"/>
        <v>0</v>
      </c>
      <c r="O86" s="4">
        <f t="shared" si="13"/>
        <v>0</v>
      </c>
      <c r="P86" s="4">
        <f t="shared" si="14"/>
        <v>0</v>
      </c>
      <c r="Q86" s="4">
        <f t="shared" si="15"/>
        <v>0</v>
      </c>
      <c r="R86" s="4">
        <f t="shared" si="16"/>
        <v>0</v>
      </c>
      <c r="S86" s="4">
        <f t="shared" si="17"/>
        <v>0</v>
      </c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4">
        <f t="shared" si="12"/>
        <v>0</v>
      </c>
      <c r="O87" s="4">
        <f t="shared" si="13"/>
        <v>0</v>
      </c>
      <c r="P87" s="4">
        <f t="shared" si="14"/>
        <v>0</v>
      </c>
      <c r="Q87" s="4">
        <f t="shared" si="15"/>
        <v>0</v>
      </c>
      <c r="R87" s="4">
        <f t="shared" si="16"/>
        <v>0</v>
      </c>
      <c r="S87" s="4">
        <f t="shared" si="17"/>
        <v>0</v>
      </c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4">
        <f t="shared" si="12"/>
        <v>0</v>
      </c>
      <c r="O88" s="4">
        <f t="shared" si="13"/>
        <v>0</v>
      </c>
      <c r="P88" s="4">
        <f t="shared" si="14"/>
        <v>0</v>
      </c>
      <c r="Q88" s="4">
        <f t="shared" si="15"/>
        <v>0</v>
      </c>
      <c r="R88" s="4">
        <f t="shared" si="16"/>
        <v>0</v>
      </c>
      <c r="S88" s="4">
        <f t="shared" si="17"/>
        <v>0</v>
      </c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4">
        <f t="shared" si="12"/>
        <v>0</v>
      </c>
      <c r="O89" s="4">
        <f t="shared" si="13"/>
        <v>0</v>
      </c>
      <c r="P89" s="4">
        <f t="shared" si="14"/>
        <v>0</v>
      </c>
      <c r="Q89" s="4">
        <f t="shared" si="15"/>
        <v>0</v>
      </c>
      <c r="R89" s="4">
        <f t="shared" si="16"/>
        <v>0</v>
      </c>
      <c r="S89" s="4">
        <f t="shared" si="17"/>
        <v>0</v>
      </c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4">
        <f t="shared" si="12"/>
        <v>0</v>
      </c>
      <c r="O90" s="4">
        <f t="shared" si="13"/>
        <v>0</v>
      </c>
      <c r="P90" s="4">
        <f t="shared" si="14"/>
        <v>0</v>
      </c>
      <c r="Q90" s="4">
        <f t="shared" si="15"/>
        <v>0</v>
      </c>
      <c r="R90" s="4">
        <f t="shared" si="16"/>
        <v>0</v>
      </c>
      <c r="S90" s="4">
        <f t="shared" si="17"/>
        <v>0</v>
      </c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4">
        <f t="shared" si="12"/>
        <v>0</v>
      </c>
      <c r="O91" s="4">
        <f t="shared" si="13"/>
        <v>0</v>
      </c>
      <c r="P91" s="4">
        <f t="shared" si="14"/>
        <v>0</v>
      </c>
      <c r="Q91" s="4">
        <f t="shared" si="15"/>
        <v>0</v>
      </c>
      <c r="R91" s="4">
        <f t="shared" si="16"/>
        <v>0</v>
      </c>
      <c r="S91" s="4">
        <f t="shared" si="17"/>
        <v>0</v>
      </c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4">
        <f t="shared" si="12"/>
        <v>0</v>
      </c>
      <c r="O92" s="4">
        <f t="shared" si="13"/>
        <v>0</v>
      </c>
      <c r="P92" s="4">
        <f t="shared" si="14"/>
        <v>0</v>
      </c>
      <c r="Q92" s="4">
        <f t="shared" si="15"/>
        <v>0</v>
      </c>
      <c r="R92" s="4">
        <f t="shared" si="16"/>
        <v>0</v>
      </c>
      <c r="S92" s="4">
        <f t="shared" si="17"/>
        <v>0</v>
      </c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4">
        <f t="shared" si="12"/>
        <v>0</v>
      </c>
      <c r="O93" s="4">
        <f t="shared" si="13"/>
        <v>0</v>
      </c>
      <c r="P93" s="4">
        <f t="shared" si="14"/>
        <v>0</v>
      </c>
      <c r="Q93" s="4">
        <f t="shared" si="15"/>
        <v>0</v>
      </c>
      <c r="R93" s="4">
        <f t="shared" si="16"/>
        <v>0</v>
      </c>
      <c r="S93" s="4">
        <f t="shared" si="17"/>
        <v>0</v>
      </c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4">
        <f t="shared" si="12"/>
        <v>0</v>
      </c>
      <c r="O94" s="4">
        <f t="shared" si="13"/>
        <v>0</v>
      </c>
      <c r="P94" s="4">
        <f t="shared" si="14"/>
        <v>0</v>
      </c>
      <c r="Q94" s="4">
        <f t="shared" si="15"/>
        <v>0</v>
      </c>
      <c r="R94" s="4">
        <f t="shared" si="16"/>
        <v>0</v>
      </c>
      <c r="S94" s="4">
        <f t="shared" si="17"/>
        <v>0</v>
      </c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4">
        <f t="shared" si="12"/>
        <v>0</v>
      </c>
      <c r="O95" s="4">
        <f t="shared" si="13"/>
        <v>0</v>
      </c>
      <c r="P95" s="4">
        <f t="shared" si="14"/>
        <v>0</v>
      </c>
      <c r="Q95" s="4">
        <f t="shared" si="15"/>
        <v>0</v>
      </c>
      <c r="R95" s="4">
        <f t="shared" si="16"/>
        <v>0</v>
      </c>
      <c r="S95" s="4">
        <f t="shared" si="17"/>
        <v>0</v>
      </c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4">
        <f t="shared" si="12"/>
        <v>0</v>
      </c>
      <c r="O96" s="4">
        <f t="shared" si="13"/>
        <v>0</v>
      </c>
      <c r="P96" s="4">
        <f t="shared" si="14"/>
        <v>0</v>
      </c>
      <c r="Q96" s="4">
        <f t="shared" si="15"/>
        <v>0</v>
      </c>
      <c r="R96" s="4">
        <f t="shared" si="16"/>
        <v>0</v>
      </c>
      <c r="S96" s="4">
        <f t="shared" si="17"/>
        <v>0</v>
      </c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"/>
      <c r="N97" s="4">
        <f t="shared" si="12"/>
        <v>0</v>
      </c>
      <c r="O97" s="4">
        <f t="shared" si="13"/>
        <v>0</v>
      </c>
      <c r="P97" s="4">
        <f t="shared" si="14"/>
        <v>0</v>
      </c>
      <c r="Q97" s="4">
        <f t="shared" si="15"/>
        <v>0</v>
      </c>
      <c r="R97" s="4">
        <f t="shared" si="16"/>
        <v>0</v>
      </c>
      <c r="S97" s="4">
        <f t="shared" si="17"/>
        <v>0</v>
      </c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"/>
      <c r="N98" s="4">
        <f t="shared" si="12"/>
        <v>0</v>
      </c>
      <c r="O98" s="4">
        <f t="shared" si="13"/>
        <v>0</v>
      </c>
      <c r="P98" s="4">
        <f t="shared" si="14"/>
        <v>0</v>
      </c>
      <c r="Q98" s="4">
        <f t="shared" si="15"/>
        <v>0</v>
      </c>
      <c r="R98" s="4">
        <f t="shared" si="16"/>
        <v>0</v>
      </c>
      <c r="S98" s="4">
        <f t="shared" si="17"/>
        <v>0</v>
      </c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"/>
      <c r="N99" s="4">
        <f t="shared" si="12"/>
        <v>0</v>
      </c>
      <c r="O99" s="4">
        <f t="shared" si="13"/>
        <v>0</v>
      </c>
      <c r="P99" s="4">
        <f t="shared" si="14"/>
        <v>0</v>
      </c>
      <c r="Q99" s="4">
        <f t="shared" si="15"/>
        <v>0</v>
      </c>
      <c r="R99" s="4">
        <f t="shared" si="16"/>
        <v>0</v>
      </c>
      <c r="S99" s="4">
        <f t="shared" si="17"/>
        <v>0</v>
      </c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"/>
      <c r="N100" s="4">
        <f t="shared" si="12"/>
        <v>0</v>
      </c>
      <c r="O100" s="4">
        <f t="shared" si="13"/>
        <v>0</v>
      </c>
      <c r="P100" s="4">
        <f t="shared" si="14"/>
        <v>0</v>
      </c>
      <c r="Q100" s="4">
        <f t="shared" si="15"/>
        <v>0</v>
      </c>
      <c r="R100" s="4">
        <f t="shared" si="16"/>
        <v>0</v>
      </c>
      <c r="S100" s="4">
        <f t="shared" si="17"/>
        <v>0</v>
      </c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"/>
      <c r="N101" s="4">
        <f t="shared" ref="N101:N108" si="18">IFERROR(C101/B101,0)</f>
        <v>0</v>
      </c>
      <c r="O101" s="4">
        <f t="shared" ref="O101:O108" si="19">IFERROR(D101/B101,0)</f>
        <v>0</v>
      </c>
      <c r="P101" s="4">
        <f t="shared" ref="P101:P108" si="20">IFERROR(F101/E101,0)</f>
        <v>0</v>
      </c>
      <c r="Q101" s="4">
        <f t="shared" ref="Q101:Q108" si="21">IFERROR(I101/H101,0)</f>
        <v>0</v>
      </c>
      <c r="R101" s="4">
        <f t="shared" ref="R101:R108" si="22">IFERROR(J101/I101,0)</f>
        <v>0</v>
      </c>
      <c r="S101" s="4">
        <f t="shared" ref="S101:S108" si="23">IFERROR(K101/J101,0)</f>
        <v>0</v>
      </c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"/>
      <c r="N102" s="4">
        <f t="shared" si="18"/>
        <v>0</v>
      </c>
      <c r="O102" s="4">
        <f t="shared" si="19"/>
        <v>0</v>
      </c>
      <c r="P102" s="4">
        <f t="shared" si="20"/>
        <v>0</v>
      </c>
      <c r="Q102" s="4">
        <f t="shared" si="21"/>
        <v>0</v>
      </c>
      <c r="R102" s="4">
        <f t="shared" si="22"/>
        <v>0</v>
      </c>
      <c r="S102" s="4">
        <f t="shared" si="23"/>
        <v>0</v>
      </c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"/>
      <c r="N103" s="4">
        <f t="shared" si="18"/>
        <v>0</v>
      </c>
      <c r="O103" s="4">
        <f t="shared" si="19"/>
        <v>0</v>
      </c>
      <c r="P103" s="4">
        <f t="shared" si="20"/>
        <v>0</v>
      </c>
      <c r="Q103" s="4">
        <f t="shared" si="21"/>
        <v>0</v>
      </c>
      <c r="R103" s="4">
        <f t="shared" si="22"/>
        <v>0</v>
      </c>
      <c r="S103" s="4">
        <f t="shared" si="23"/>
        <v>0</v>
      </c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"/>
      <c r="N104" s="4">
        <f t="shared" si="18"/>
        <v>0</v>
      </c>
      <c r="O104" s="4">
        <f t="shared" si="19"/>
        <v>0</v>
      </c>
      <c r="P104" s="4">
        <f t="shared" si="20"/>
        <v>0</v>
      </c>
      <c r="Q104" s="4">
        <f t="shared" si="21"/>
        <v>0</v>
      </c>
      <c r="R104" s="4">
        <f t="shared" si="22"/>
        <v>0</v>
      </c>
      <c r="S104" s="4">
        <f t="shared" si="23"/>
        <v>0</v>
      </c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"/>
      <c r="N105" s="4">
        <f t="shared" si="18"/>
        <v>0</v>
      </c>
      <c r="O105" s="4">
        <f t="shared" si="19"/>
        <v>0</v>
      </c>
      <c r="P105" s="4">
        <f t="shared" si="20"/>
        <v>0</v>
      </c>
      <c r="Q105" s="4">
        <f t="shared" si="21"/>
        <v>0</v>
      </c>
      <c r="R105" s="4">
        <f t="shared" si="22"/>
        <v>0</v>
      </c>
      <c r="S105" s="4">
        <f t="shared" si="23"/>
        <v>0</v>
      </c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"/>
      <c r="N106" s="4">
        <f t="shared" si="18"/>
        <v>0</v>
      </c>
      <c r="O106" s="4">
        <f t="shared" si="19"/>
        <v>0</v>
      </c>
      <c r="P106" s="4">
        <f t="shared" si="20"/>
        <v>0</v>
      </c>
      <c r="Q106" s="4">
        <f t="shared" si="21"/>
        <v>0</v>
      </c>
      <c r="R106" s="4">
        <f t="shared" si="22"/>
        <v>0</v>
      </c>
      <c r="S106" s="4">
        <f t="shared" si="23"/>
        <v>0</v>
      </c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"/>
      <c r="N107" s="4">
        <f t="shared" si="18"/>
        <v>0</v>
      </c>
      <c r="O107" s="4">
        <f t="shared" si="19"/>
        <v>0</v>
      </c>
      <c r="P107" s="4">
        <f t="shared" si="20"/>
        <v>0</v>
      </c>
      <c r="Q107" s="4">
        <f t="shared" si="21"/>
        <v>0</v>
      </c>
      <c r="R107" s="4">
        <f t="shared" si="22"/>
        <v>0</v>
      </c>
      <c r="S107" s="4">
        <f t="shared" si="23"/>
        <v>0</v>
      </c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/>
      <c r="N108" s="4">
        <f t="shared" si="18"/>
        <v>0</v>
      </c>
      <c r="O108" s="4">
        <f t="shared" si="19"/>
        <v>0</v>
      </c>
      <c r="P108" s="4">
        <f t="shared" si="20"/>
        <v>0</v>
      </c>
      <c r="Q108" s="4">
        <f t="shared" si="21"/>
        <v>0</v>
      </c>
      <c r="R108" s="4">
        <f t="shared" si="22"/>
        <v>0</v>
      </c>
      <c r="S108" s="4">
        <f t="shared" si="23"/>
        <v>0</v>
      </c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">
    <mergeCell ref="A1:S1"/>
    <mergeCell ref="A2:S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404"/>
  <sheetViews>
    <sheetView workbookViewId="0">
      <selection activeCell="E3" sqref="E3"/>
    </sheetView>
  </sheetViews>
  <sheetFormatPr defaultRowHeight="14"/>
  <cols>
    <col min="2" max="2" width="22" customWidth="1"/>
    <col min="3" max="3" width="55" customWidth="1"/>
    <col min="4" max="4" width="9.83203125" customWidth="1"/>
    <col min="5" max="5" width="30" customWidth="1"/>
  </cols>
  <sheetData>
    <row r="1" spans="1:26" ht="21.4" customHeight="1">
      <c r="A1" s="5" t="s">
        <v>115</v>
      </c>
      <c r="B1" s="5"/>
      <c r="C1" s="5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116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649999999999999" customHeight="1">
      <c r="A4" s="2" t="s">
        <v>117</v>
      </c>
      <c r="B4" s="2" t="s">
        <v>118</v>
      </c>
      <c r="C4" s="2" t="s">
        <v>119</v>
      </c>
      <c r="D4" s="2" t="s">
        <v>120</v>
      </c>
      <c r="E4" s="2" t="s">
        <v>52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>
        <v>1</v>
      </c>
      <c r="B5" s="1" t="s">
        <v>121</v>
      </c>
      <c r="C5" s="1" t="s">
        <v>122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>
        <v>2</v>
      </c>
      <c r="B6" s="1" t="s">
        <v>123</v>
      </c>
      <c r="C6" s="1" t="s">
        <v>124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>
        <v>3</v>
      </c>
      <c r="B7" s="1" t="s">
        <v>125</v>
      </c>
      <c r="C7" s="1" t="s">
        <v>126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>
        <v>4</v>
      </c>
      <c r="B8" s="1" t="s">
        <v>127</v>
      </c>
      <c r="C8" s="1" t="s">
        <v>128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>
        <v>5</v>
      </c>
      <c r="B9" s="1" t="s">
        <v>129</v>
      </c>
      <c r="C9" s="1" t="s">
        <v>130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>
        <v>6</v>
      </c>
      <c r="B10" s="1" t="s">
        <v>131</v>
      </c>
      <c r="C10" s="1" t="s">
        <v>132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>
        <v>7</v>
      </c>
      <c r="B11" s="1" t="s">
        <v>133</v>
      </c>
      <c r="C11" s="1" t="s">
        <v>134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>
        <v>8</v>
      </c>
      <c r="B12" s="1" t="s">
        <v>135</v>
      </c>
      <c r="C12" s="1" t="s">
        <v>136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>
        <v>9</v>
      </c>
      <c r="B13" s="1" t="s">
        <v>137</v>
      </c>
      <c r="C13" s="1" t="s">
        <v>138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>
        <v>10</v>
      </c>
      <c r="B14" s="1" t="s">
        <v>139</v>
      </c>
      <c r="C14" s="1" t="s">
        <v>140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>
        <v>11</v>
      </c>
      <c r="B15" s="1" t="s">
        <v>141</v>
      </c>
      <c r="C15" s="1" t="s">
        <v>142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>
        <v>12</v>
      </c>
      <c r="B16" s="1" t="s">
        <v>143</v>
      </c>
      <c r="C16" s="1" t="s">
        <v>144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>
        <v>13</v>
      </c>
      <c r="B17" s="1" t="s">
        <v>145</v>
      </c>
      <c r="C17" s="1" t="s">
        <v>146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>
        <v>14</v>
      </c>
      <c r="B18" s="1" t="s">
        <v>147</v>
      </c>
      <c r="C18" s="1" t="s">
        <v>148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>
        <v>15</v>
      </c>
      <c r="B19" s="1" t="s">
        <v>149</v>
      </c>
      <c r="C19" s="1" t="s">
        <v>150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>
        <v>16</v>
      </c>
      <c r="B20" s="1" t="s">
        <v>151</v>
      </c>
      <c r="C20" s="1" t="s">
        <v>152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>
        <v>17</v>
      </c>
      <c r="B21" s="1" t="s">
        <v>153</v>
      </c>
      <c r="C21" s="1" t="s">
        <v>154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>
        <v>18</v>
      </c>
      <c r="B22" s="1" t="s">
        <v>155</v>
      </c>
      <c r="C22" s="1" t="s">
        <v>156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>
        <v>19</v>
      </c>
      <c r="B23" s="1" t="s">
        <v>157</v>
      </c>
      <c r="C23" s="1" t="s">
        <v>158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>
        <v>20</v>
      </c>
      <c r="B24" s="1" t="s">
        <v>159</v>
      </c>
      <c r="C24" s="1" t="s">
        <v>160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>
        <v>21</v>
      </c>
      <c r="B25" s="1" t="s">
        <v>161</v>
      </c>
      <c r="C25" s="1" t="s">
        <v>162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>
        <v>22</v>
      </c>
      <c r="B26" s="1" t="s">
        <v>163</v>
      </c>
      <c r="C26" s="1" t="s">
        <v>164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>
        <v>23</v>
      </c>
      <c r="B27" s="1" t="s">
        <v>165</v>
      </c>
      <c r="C27" s="1" t="s">
        <v>166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>
        <v>24</v>
      </c>
      <c r="B28" s="1" t="s">
        <v>167</v>
      </c>
      <c r="C28" s="1" t="s">
        <v>168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>
        <v>25</v>
      </c>
      <c r="B29" s="1" t="s">
        <v>169</v>
      </c>
      <c r="C29" s="1" t="s">
        <v>170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>
        <v>26</v>
      </c>
      <c r="B30" s="1" t="s">
        <v>171</v>
      </c>
      <c r="C30" s="1" t="s">
        <v>172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>
        <v>27</v>
      </c>
      <c r="B31" s="1" t="s">
        <v>173</v>
      </c>
      <c r="C31" s="1" t="s">
        <v>174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>
        <v>28</v>
      </c>
      <c r="B32" s="1" t="s">
        <v>175</v>
      </c>
      <c r="C32" s="1" t="s">
        <v>176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>
        <v>29</v>
      </c>
      <c r="B33" s="1" t="s">
        <v>177</v>
      </c>
      <c r="C33" s="1" t="s">
        <v>178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>
        <v>30</v>
      </c>
      <c r="B34" s="1" t="s">
        <v>179</v>
      </c>
      <c r="C34" s="1" t="s">
        <v>180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2">
    <mergeCell ref="A1:E1"/>
    <mergeCell ref="A2:E2"/>
  </mergeCells>
  <conditionalFormatting sqref="D5:D34">
    <cfRule type="expression" dxfId="0" priority="1">
      <formula>D5="Yes"</formula>
    </cfRule>
  </conditionalFormatting>
  <dataValidations count="1">
    <dataValidation type="list" sqref="D5:D34" xr:uid="{00000000-0002-0000-0800-000000000000}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04"/>
  <sheetViews>
    <sheetView workbookViewId="0">
      <selection sqref="A1:F1"/>
    </sheetView>
  </sheetViews>
  <sheetFormatPr defaultRowHeight="14"/>
  <cols>
    <col min="1" max="1" width="6" customWidth="1"/>
    <col min="2" max="2" width="22" customWidth="1"/>
    <col min="3" max="3" width="60" customWidth="1"/>
  </cols>
  <sheetData>
    <row r="1" spans="1:26" ht="21.4" customHeight="1">
      <c r="A1" s="5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6" t="s">
        <v>181</v>
      </c>
      <c r="B2" s="6"/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3" t="s">
        <v>182</v>
      </c>
      <c r="B4" s="13"/>
      <c r="C4" s="13"/>
      <c r="D4" s="13"/>
      <c r="E4" s="13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">
      <c r="A6" s="1" t="s">
        <v>183</v>
      </c>
      <c r="B6" s="1" t="s">
        <v>184</v>
      </c>
      <c r="C6" s="1" t="s">
        <v>185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186</v>
      </c>
      <c r="B7" s="1" t="s">
        <v>187</v>
      </c>
      <c r="C7" s="1" t="s">
        <v>188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189</v>
      </c>
      <c r="B8" s="1" t="s">
        <v>190</v>
      </c>
      <c r="C8" s="1" t="s">
        <v>191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192</v>
      </c>
      <c r="B9" s="1" t="s">
        <v>193</v>
      </c>
      <c r="C9" s="1" t="s">
        <v>194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195</v>
      </c>
      <c r="B10" s="1" t="s">
        <v>196</v>
      </c>
      <c r="C10" s="1" t="s">
        <v>197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198</v>
      </c>
      <c r="B11" s="1" t="s">
        <v>199</v>
      </c>
      <c r="C11" s="1" t="s">
        <v>200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201</v>
      </c>
      <c r="B12" s="1" t="s">
        <v>202</v>
      </c>
      <c r="C12" s="1" t="s">
        <v>203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204</v>
      </c>
      <c r="B13" s="1" t="s">
        <v>205</v>
      </c>
      <c r="C13" s="1" t="s">
        <v>206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4" t="s">
        <v>207</v>
      </c>
      <c r="B15" s="14"/>
      <c r="C15" s="14"/>
      <c r="D15" s="14"/>
      <c r="E15" s="14"/>
      <c r="F15" s="1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/>
      <c r="B16" s="14"/>
      <c r="C16" s="14"/>
      <c r="D16" s="14"/>
      <c r="E16" s="14"/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/>
      <c r="B17" s="14"/>
      <c r="C17" s="14"/>
      <c r="D17" s="14"/>
      <c r="E17" s="14"/>
      <c r="F17" s="1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</sheetData>
  <mergeCells count="4">
    <mergeCell ref="A1:F1"/>
    <mergeCell ref="A2:F2"/>
    <mergeCell ref="A4:F4"/>
    <mergeCell ref="A15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Account Scoring</vt:lpstr>
      <vt:lpstr>Hiring Signals</vt:lpstr>
      <vt:lpstr>BD Pipeline</vt:lpstr>
      <vt:lpstr>Req Scorecard</vt:lpstr>
      <vt:lpstr>Candidate Pipeline</vt:lpstr>
      <vt:lpstr>Client Health</vt:lpstr>
      <vt:lpstr>Weekly Metrics</vt:lpstr>
      <vt:lpstr>30-Day Sprint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Rieger</dc:creator>
  <cp:lastModifiedBy>Jason Rieger</cp:lastModifiedBy>
  <dcterms:created xsi:type="dcterms:W3CDTF">2026-09-07T14:14:53Z</dcterms:created>
  <dcterms:modified xsi:type="dcterms:W3CDTF">2026-09-07T15:27:31Z</dcterms:modified>
</cp:coreProperties>
</file>